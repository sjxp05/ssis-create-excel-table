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5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\AI00\ssis\ssis-create-excel-table\xlsx_files\"/>
    </mc:Choice>
  </mc:AlternateContent>
  <x:bookViews>
    <x:workbookView xWindow="0" yWindow="0" windowWidth="22788" windowHeight="8112" tabRatio="500"/>
  </x:bookViews>
  <x:sheets>
    <x:sheet name="인정조사" sheetId="1" r:id="rId4"/>
    <x:sheet name="종합조사" sheetId="2" r:id="rId5"/>
  </x:sheets>
  <x:externalReferences>
    <x:externalReference r:id="rId6"/>
  </x:externalReferenc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LG</x:author>
  </x:authors>
  <x:commentList>
    <x:comment ref="E18:E18" authorId="0">
      <x:text>
        <x:r>
          <x:rPr>
            <x:rFont val="돋움"/>
            <x:sz val="9"/>
            <x:color rgb="ff000000"/>
          </x:rPr>
          <x:t>식) [(n-1년 한도액) ÷ (n-1년 단가)] × (n년 단가) 후 천원 단위로 떨어지도록 백원 단위 올림
예) [24년 학교생할 한도액(157,000원) ÷ 24년 단가(16,150원)] × 25년 단가(16,620원) = 161,569.0402 → 올림처리 후 162,000원
예) [25년 학교생활 한도액(168,000원) ÷ 25년 단가(16,620원)] × 26년 단가(17,270원) = 174,570.3971 → 올림처리 후 175,000원</x:t>
        </x:r>
      </x:text>
    </x:comment>
    <x:comment ref="E7:E7" authorId="0">
      <x:text>
        <x:r>
          <x:rPr>
            <x:rFont val="돋움"/>
            <x:sz val="9"/>
            <x:color rgb="ff000000"/>
            <x:b val="1"/>
          </x:rPr>
          <x:t>활동지원급여비용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등에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관한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고시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LG</x:author>
  </x:authors>
  <x:commentList>
    <x:comment ref="C5:C5" authorId="0">
      <x:text>
        <x:r>
          <x:rPr>
            <x:rFont val="돋움"/>
            <x:sz val="9"/>
            <x:color rgb="ff000000"/>
            <x:b val="1"/>
          </x:rPr>
          <x:t>활동지원급여비용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등에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관한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고시</x:t>
        </x:r>
      </x:text>
    </x:comment>
    <x:comment ref="E5:E5" authorId="0">
      <x:text>
        <x:r>
          <x:rPr>
            <x:rFont val="Tahoma"/>
            <x:sz val="9"/>
            <x:color rgb="ff000000"/>
            <x:b val="1"/>
          </x:rPr>
          <x:t>2025</x:t>
        </x:r>
        <x:r>
          <x:rPr>
            <x:rFont val="돋움"/>
            <x:sz val="9"/>
            <x:color rgb="ff000000"/>
            <x:b val="1"/>
          </x:rPr>
          <x:t>년부터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특례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구간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삭제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<x:sst xmlns:r="http://schemas.openxmlformats.org/officeDocument/2006/relationships" xmlns:c="http://schemas.openxmlformats.org/drawingml/2006/chart" xmlns:x="http://schemas.openxmlformats.org/spreadsheetml/2006/main" count="282" uniqueCount="70">
  <x:si>
    <x:t>주간활동 가족급여 본인부담금(기본형)</x:t>
  </x:si>
  <x:si>
    <x:t>주간활동 가족급여 본인부담금(확장형)</x:t>
  </x:si>
  <x:si>
    <x:t>차상위</x:t>
  </x:si>
  <x:si>
    <x:t>2등급</x:t>
  </x:si>
  <x:si>
    <x:t>기초</x:t>
  </x:si>
  <x:si>
    <x:t>면제</x:t>
  </x:si>
  <x:si>
    <x:t>부담률</x:t>
  </x:si>
  <x:si>
    <x:t>1등급</x:t>
  </x:si>
  <x:si>
    <x:t>4등급</x:t>
  </x:si>
  <x:si>
    <x:t>기본</x:t>
  </x:si>
  <x:si>
    <x:t>특례</x:t>
  </x:si>
  <x:si>
    <x:t>3등급</x:t>
  </x:si>
  <x:si>
    <x:t>구분</x:t>
  </x:si>
  <x:si>
    <x:r>
      <x:t>9</x:t>
    </x:r>
    <x:r>
      <x:rPr>
        <x:rFont val="맑은 고딕"/>
        <x:sz val="10"/>
        <x:color rgb="ff000000"/>
      </x:rPr>
      <x:t>등급</x:t>
    </x:r>
  </x:si>
  <x:si>
    <x:r>
      <x:t>8</x:t>
    </x:r>
    <x:r>
      <x:rPr>
        <x:rFont val="맑은 고딕"/>
        <x:sz val="10"/>
        <x:color rgb="ff000000"/>
      </x:rPr>
      <x:t>등급</x:t>
    </x:r>
  </x:si>
  <x:si>
    <x:r>
      <x:t>7</x:t>
    </x:r>
    <x:r>
      <x:rPr>
        <x:rFont val="맑은 고딕"/>
        <x:sz val="10"/>
        <x:color rgb="ff000000"/>
      </x:rPr>
      <x:t>등급</x:t>
    </x:r>
  </x:si>
  <x:si>
    <x:r>
      <x:t>5</x:t>
    </x:r>
    <x:r>
      <x:rPr>
        <x:rFont val="맑은 고딕"/>
        <x:sz val="10"/>
        <x:color rgb="ff000000"/>
      </x:rPr>
      <x:t>등급</x:t>
    </x:r>
  </x:si>
  <x:si>
    <x:r>
      <x:t>4</x:t>
    </x:r>
    <x:r>
      <x:rPr>
        <x:rFont val="맑은 고딕"/>
        <x:sz val="10"/>
        <x:color rgb="ff000000"/>
      </x:rPr>
      <x:t>등급</x:t>
    </x:r>
  </x:si>
  <x:si>
    <x:r>
      <x:t>3</x:t>
    </x:r>
    <x:r>
      <x:rPr>
        <x:rFont val="맑은 고딕"/>
        <x:sz val="10"/>
        <x:color rgb="ff000000"/>
      </x:rPr>
      <x:t>등급</x:t>
    </x:r>
  </x:si>
  <x:si>
    <x:r>
      <x:t>2</x:t>
    </x:r>
    <x:r>
      <x:rPr>
        <x:rFont val="맑은 고딕"/>
        <x:sz val="10"/>
        <x:color rgb="ff000000"/>
      </x:rPr>
      <x:t>등급</x:t>
    </x:r>
  </x:si>
  <x:si>
    <x:r>
      <x:t>1</x:t>
    </x:r>
    <x:r>
      <x:rPr>
        <x:rFont val="맑은 고딕"/>
        <x:sz val="10"/>
        <x:color rgb="ff000000"/>
      </x:rPr>
      <x:t>등급</x:t>
    </x:r>
  </x:si>
  <x:si>
    <x:r>
      <x:t>6</x:t>
    </x:r>
    <x:r>
      <x:rPr>
        <x:rFont val="맑은 고딕"/>
        <x:sz val="10"/>
        <x:color rgb="ff000000"/>
      </x:rPr>
      <x:t>등급</x:t>
    </x:r>
  </x:si>
  <x:si>
    <x:t>2등급이하취약가구, 자립준비</x:t>
  </x:si>
  <x:si>
    <x:t>2등급이하1인가구, 자립준비</x:t>
  </x:si>
  <x:si>
    <x:t>주간활동 본인부담금(기본형)</x:t>
  </x:si>
  <x:si>
    <x:t>&lt;기본급여 월 한도액&gt;</x:t>
  </x:si>
  <x:si>
    <x:t>&lt;추가급여 월 한도액&gt;</x:t>
  </x:si>
  <x:si>
    <x:t>주간활동 본인부담금(확장형)</x:t>
  </x:si>
  <x:si>
    <x:t>2등급이하1인가구, 학교생활</x:t>
  </x:si>
  <x:si>
    <x:t>학교생활, 보호자일시부재</x:t>
  </x:si>
  <x:si>
    <x:t>2등급이하취약가구, 학교생활</x:t>
  </x:si>
  <x:si>
    <x:t>2등급이하1인가구, 보호자일시부재</x:t>
  </x:si>
  <x:si>
    <x:t>2등급이하취약가구, 보호자일시부재</x:t>
  </x:si>
  <x:si>
    <x:t>월 한도액</x:t>
  </x:si>
  <x:si>
    <x:t>본인부담금</x:t>
  </x:si>
  <x:si>
    <x:t>기본단가</x:t>
  </x:si>
  <x:si>
    <x:t>가족지원</x:t>
  </x:si>
  <x:si>
    <x:t>주간활동</x:t>
  </x:si>
  <x:si>
    <x:t>50% 이하</x:t>
  </x:si>
  <x:si>
    <x:t>학교생활</x:t>
  </x:si>
  <x:si>
    <x:t>활동지원등급</x:t>
  </x:si>
  <x:si>
    <x:t>&lt;본인부담금&gt;</x:t>
  </x:si>
  <x:si>
    <x:t>가족급여</x:t>
  </x:si>
  <x:si>
    <x:t>150% 초과</x:t>
  </x:si>
  <x:si>
    <x:t>150% 이하</x:t>
  </x:si>
  <x:si>
    <x:t>작년단가</x:t>
  </x:si>
  <x:si>
    <x:t>기본 부담률</x:t>
  </x:si>
  <x:si>
    <x:t>추가 부담률</x:t>
  </x:si>
  <x:si>
    <x:t>지원시간</x:t>
  </x:si>
  <x:si>
    <x:t>100% 이하</x:t>
  </x:si>
  <x:si>
    <x:t>2025 A값</x:t>
  </x:si>
  <x:si>
    <x:r>
      <x:t>15</x:t>
    </x:r>
    <x:r>
      <x:rPr>
        <x:rFont val="맑은 고딕"/>
        <x:sz val="10"/>
        <x:color rgb="ff000000"/>
      </x:rPr>
      <x:t>등급</x:t>
    </x:r>
  </x:si>
  <x:si>
    <x:r>
      <x:t>14</x:t>
    </x:r>
    <x:r>
      <x:rPr>
        <x:rFont val="맑은 고딕"/>
        <x:sz val="10"/>
        <x:color rgb="ff000000"/>
      </x:rPr>
      <x:t>등급</x:t>
    </x:r>
  </x:si>
  <x:si>
    <x:r>
      <x:t>13</x:t>
    </x:r>
    <x:r>
      <x:rPr>
        <x:rFont val="맑은 고딕"/>
        <x:sz val="10"/>
        <x:color rgb="ff000000"/>
      </x:rPr>
      <x:t>등급</x:t>
    </x:r>
  </x:si>
  <x:si>
    <x:r>
      <x:t>12</x:t>
    </x:r>
    <x:r>
      <x:rPr>
        <x:rFont val="맑은 고딕"/>
        <x:sz val="10"/>
        <x:color rgb="ff000000"/>
      </x:rPr>
      <x:t>등급</x:t>
    </x:r>
  </x:si>
  <x:si>
    <x:r>
      <x:t>11</x:t>
    </x:r>
    <x:r>
      <x:rPr>
        <x:rFont val="맑은 고딕"/>
        <x:sz val="10"/>
        <x:color rgb="ff000000"/>
      </x:rPr>
      <x:t>등급</x:t>
    </x:r>
  </x:si>
  <x:si>
    <x:r>
      <x:t>70%</x:t>
    </x:r>
    <x:r>
      <x:rPr>
        <x:rFont val="맑은 고딕"/>
        <x:sz val="10"/>
        <x:color rgb="ff000000"/>
      </x:rPr>
      <x:t>이하</x:t>
    </x:r>
  </x:si>
  <x:si>
    <x:r>
      <x:t>10</x:t>
    </x:r>
    <x:r>
      <x:rPr>
        <x:rFont val="맑은 고딕"/>
        <x:sz val="10"/>
        <x:color rgb="ff000000"/>
      </x:rPr>
      <x:t>등급</x:t>
    </x:r>
  </x:si>
  <x:si>
    <x:r>
      <x:t>120%</x:t>
    </x:r>
    <x:r>
      <x:rPr>
        <x:rFont val="맑은 고딕"/>
        <x:sz val="10"/>
        <x:color rgb="ff000000"/>
      </x:rPr>
      <x:t>이하</x:t>
    </x:r>
  </x:si>
  <x:si>
    <x:r>
      <x:t>180%</x:t>
    </x:r>
    <x:r>
      <x:rPr>
        <x:rFont val="맑은 고딕"/>
        <x:sz val="10"/>
        <x:color rgb="ff000000"/>
      </x:rPr>
      <x:t>초과</x:t>
    </x:r>
  </x:si>
  <x:si>
    <x:r>
      <x:t>180%</x:t>
    </x:r>
    <x:r>
      <x:rPr>
        <x:rFont val="맑은 고딕"/>
        <x:sz val="10"/>
        <x:color rgb="ff000000"/>
      </x:rPr>
      <x:t>이하</x:t>
    </x:r>
  </x:si>
  <x:si>
    <x:t>작년 월 한도액</x:t>
  </x:si>
  <x:si>
    <x:t>학교생활, 자립준비</x:t>
  </x:si>
  <x:si>
    <x:t>(본인부담금 상한액)</x:t>
  </x:si>
  <x:si>
    <x:t>가족급여 본인부담금</x:t>
  </x:si>
  <x:si>
    <x:t>2등급이하1인가구</x:t>
  </x:si>
  <x:si>
    <x:t>주간활동
(확장형)</x:t>
  </x:si>
  <x:si>
    <x:t>주간활동
(기본형)</x:t>
  </x:si>
  <x:si>
    <x:t>2등급이하취약가구</x:t>
  </x:si>
  <x:si>
    <x:t>전국가구평균소득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</x:si>
</x:sst>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_-* #,##0_-;\-* #,##0_-;_-* &quot;-&quot;??_-;_-@_-"/>
    <x:numFmt numFmtId="165" formatCode="#,##0_);[Red]\(#,##0\)"/>
    <x:numFmt numFmtId="166" formatCode="#,##0_ "/>
  </x:numFmts>
  <x:fonts count="1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휴먼명조"/>
      <x:sz val="10"/>
      <x:color rgb="ff000000"/>
    </x:font>
    <x:font>
      <x:name val="휴먼명조"/>
      <x:sz val="10"/>
      <x:color rgb="ffff0000"/>
    </x:font>
    <x:font>
      <x:name val="맑은 고딕"/>
      <x:sz val="11"/>
      <x:color rgb="ff000000"/>
      <x:b val="1"/>
    </x:font>
    <x:font>
      <x:name val="맑은 고딕"/>
      <x:sz val="11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000000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eeece1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f3dcdb"/>
        <x:bgColor indexed="64"/>
      </x:patternFill>
    </x:fill>
  </x:fills>
  <x:borders count="7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rgb="ffff0000"/>
      </x:right>
      <x:top style="thin">
        <x:color auto="1"/>
      </x:top>
      <x:bottom style="thin">
        <x:color auto="1"/>
      </x:bottom>
    </x:border>
    <x:border>
      <x:left style="medium">
        <x:color rgb="ffff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double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medium">
        <x:color rgb="ffff0000"/>
      </x:left>
      <x:right style="thin">
        <x:color auto="1"/>
      </x:right>
      <x:top style="thin">
        <x:color auto="1"/>
      </x:top>
      <x:bottom style="medium">
        <x:color rgb="ffff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rgb="ffff0000"/>
      </x:bottom>
    </x:border>
    <x:border>
      <x:left style="thin">
        <x:color auto="1"/>
      </x:left>
      <x:right style="medium">
        <x:color rgb="ffff0000"/>
      </x:right>
      <x:top style="thin">
        <x:color auto="1"/>
      </x:top>
      <x:bottom style="medium">
        <x:color rgb="ffff0000"/>
      </x:bottom>
    </x:border>
    <x:border>
      <x:left style="double">
        <x:color rgb="ff000000"/>
      </x:left>
      <x:right style="thin">
        <x:color auto="1"/>
      </x:right>
      <x:top style="thin">
        <x:color auto="1"/>
      </x:top>
      <x:bottom style="medium">
        <x:color rgb="ffff0000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medium">
        <x:color rgb="ffff0000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medium">
        <x:color rgb="ffff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rgb="ffff0000"/>
      </x:bottom>
    </x:border>
    <x:border>
      <x:left style="medium">
        <x:color rgb="ffff0000"/>
      </x:left>
      <x:right style="thin">
        <x:color rgb="ff000000"/>
      </x:right>
      <x:top style="thin">
        <x:color rgb="ff000000"/>
      </x:top>
      <x:bottom style="medium">
        <x:color rgb="ffff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ff0000"/>
      </x:bottom>
    </x:border>
    <x:border>
      <x:left style="thin">
        <x:color rgb="ff000000"/>
      </x:left>
      <x:right style="medium">
        <x:color rgb="ffff0000"/>
      </x:right>
      <x:top style="thin">
        <x:color rgb="ff000000"/>
      </x:top>
      <x:bottom style="medium">
        <x:color rgb="ffff0000"/>
      </x:bottom>
    </x:border>
    <x:border>
      <x:left style="medium">
        <x:color rgb="ffff0000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medium">
        <x:color rgb="ffff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rgb="ffff0000"/>
      </x:right>
      <x:top>
        <x:color auto="1"/>
      </x:top>
      <x:bottom style="thin">
        <x:color rgb="ff000000"/>
      </x:bottom>
    </x:border>
    <x:border>
      <x:left style="double">
        <x:color rgb="ff000000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double">
        <x:color auto="1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double"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rgb="ffff0000"/>
      </x:right>
      <x:top>
        <x:color auto="1"/>
      </x:top>
      <x:bottom style="thin">
        <x:color rgb="ff000000"/>
      </x:bottom>
    </x:border>
    <x:border>
      <x:left style="medium">
        <x:color rgb="ffff0000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medium">
        <x:color rgb="ffff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ff0000"/>
      </x:right>
      <x:top style="thin">
        <x:color rgb="ff000000"/>
      </x:top>
      <x:bottom style="thin">
        <x:color rgb="ff000000"/>
      </x:bottom>
    </x:border>
    <x:border>
      <x:left style="double">
        <x:color rgb="ff000000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double"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double"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medium">
        <x:color rgb="ffff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medium">
        <x:color rgb="ffff0000"/>
      </x:right>
      <x:top>
        <x:color auto="1"/>
      </x:top>
      <x:bottom style="thin">
        <x:color auto="1"/>
      </x:bottom>
    </x:border>
    <x:border>
      <x:left style="medium">
        <x:color rgb="ffff0000"/>
      </x:left>
      <x:right>
        <x:color auto="1"/>
      </x:right>
      <x:top style="medium">
        <x:color rgb="ffff0000"/>
      </x:top>
      <x:bottom>
        <x:color auto="1"/>
      </x:bottom>
    </x:border>
    <x:border>
      <x:left>
        <x:color auto="1"/>
      </x:left>
      <x:right>
        <x:color auto="1"/>
      </x:right>
      <x:top style="medium">
        <x:color rgb="ffff0000"/>
      </x:top>
      <x:bottom>
        <x:color auto="1"/>
      </x:bottom>
    </x:border>
    <x:border>
      <x:left>
        <x:color auto="1"/>
      </x:left>
      <x:right style="medium">
        <x:color rgb="ffff0000"/>
      </x:right>
      <x:top style="medium">
        <x:color rgb="ffff0000"/>
      </x:top>
      <x:bottom>
        <x:color auto="1"/>
      </x:bottom>
    </x:border>
    <x:border>
      <x:left style="medium">
        <x:color rgb="ffff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rgb="ffff0000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rgb="ffff0000"/>
      </x:right>
      <x:top style="medium">
        <x:color rgb="ffff0000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rgb="ffff0000"/>
      </x:top>
      <x:bottom style="thin">
        <x:color auto="1"/>
      </x:bottom>
    </x:border>
    <x:border>
      <x:left style="thin">
        <x:color auto="1"/>
      </x:left>
      <x:right style="medium">
        <x:color rgb="ffff0000"/>
      </x:right>
      <x:top style="medium">
        <x:color rgb="ffff0000"/>
      </x:top>
      <x:bottom style="thin">
        <x:color auto="1"/>
      </x:bottom>
    </x:border>
    <x:border>
      <x:left style="medium">
        <x:color rgb="ffff0000"/>
      </x:left>
      <x:right>
        <x:color auto="1"/>
      </x:right>
      <x:top style="medium">
        <x:color rgb="ffff0000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rgb="ffff0000"/>
      </x:top>
      <x:bottom style="thin">
        <x:color auto="1"/>
      </x:bottom>
    </x:border>
    <x:border>
      <x:left>
        <x:color auto="1"/>
      </x:left>
      <x:right style="medium">
        <x:color rgb="ffff0000"/>
      </x:right>
      <x:top style="medium">
        <x:color rgb="ffff0000"/>
      </x:top>
      <x:bottom style="thin">
        <x:color auto="1"/>
      </x:bottom>
    </x:border>
    <x:border>
      <x:left style="double">
        <x:color rgb="ff000000"/>
      </x:left>
      <x:right>
        <x:color auto="1"/>
      </x:right>
      <x:top style="medium">
        <x:color rgb="ffff0000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medium">
        <x:color rgb="ffff0000"/>
      </x:top>
      <x:bottom style="thin">
        <x:color auto="1"/>
      </x:bottom>
    </x:border>
    <x:border>
      <x:left style="double">
        <x:color auto="1"/>
      </x:left>
      <x:right>
        <x:color auto="1"/>
      </x:right>
      <x:top style="medium">
        <x:color rgb="ffff0000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 style="medium">
        <x:color rgb="ffff0000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medium">
        <x:color rgb="ffff0000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rgb="ffff0000"/>
      </x:top>
      <x:bottom style="thin">
        <x:color auto="1"/>
      </x:bottom>
    </x:border>
    <x:border>
      <x:left style="medium">
        <x:color rgb="ffff0000"/>
      </x:left>
      <x:right>
        <x:color auto="1"/>
      </x:right>
      <x:top style="medium">
        <x:color rgb="ffff0000"/>
      </x:top>
      <x:bottom style="medium">
        <x:color rgb="ffff0000"/>
      </x:bottom>
    </x:border>
    <x:border>
      <x:left>
        <x:color auto="1"/>
      </x:left>
      <x:right>
        <x:color auto="1"/>
      </x:right>
      <x:top style="medium">
        <x:color rgb="ffff0000"/>
      </x:top>
      <x:bottom style="medium">
        <x:color rgb="ffff0000"/>
      </x:bottom>
    </x:border>
    <x:border>
      <x:left>
        <x:color auto="1"/>
      </x:left>
      <x:right style="medium">
        <x:color rgb="ffff0000"/>
      </x:right>
      <x:top style="medium">
        <x:color rgb="ffff0000"/>
      </x:top>
      <x:bottom style="medium">
        <x:color rgb="ffff0000"/>
      </x:bottom>
    </x:border>
    <x:border>
      <x:left style="thin">
        <x:color auto="1"/>
      </x:left>
      <x:right style="medium">
        <x:color rgb="ffff0000"/>
      </x:right>
      <x:top style="thin">
        <x:color auto="1"/>
      </x:top>
      <x:bottom>
        <x:color auto="1"/>
      </x:bottom>
    </x:border>
    <x:border>
      <x:left style="medium">
        <x:color rgb="ffff0000"/>
      </x:left>
      <x:right>
        <x:color auto="1"/>
      </x:right>
      <x:top>
        <x:color auto="1"/>
      </x:top>
      <x:bottom style="medium">
        <x:color rgb="ffff0000"/>
      </x:bottom>
    </x:border>
    <x:border>
      <x:left style="thin">
        <x:color auto="1"/>
      </x:left>
      <x:right>
        <x:color auto="1"/>
      </x:right>
      <x:top style="medium">
        <x:color rgb="ffff0000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rgb="ffff0000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rgb="ffff0000"/>
      </x:bottom>
    </x:border>
    <x:border>
      <x:left style="medium">
        <x:color rgb="ffff0000"/>
      </x:left>
      <x:right style="thin">
        <x:color rgb="ff000000"/>
      </x:right>
      <x:top style="medium">
        <x:color rgb="ffff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ff0000"/>
      </x:top>
      <x:bottom style="thin">
        <x:color rgb="ff000000"/>
      </x:bottom>
    </x:border>
    <x:border>
      <x:left style="thin">
        <x:color rgb="ff000000"/>
      </x:left>
      <x:right style="medium">
        <x:color rgb="ffff0000"/>
      </x:right>
      <x:top style="medium">
        <x:color rgb="ffff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15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7" fillId="5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7" fillId="5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5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5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5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5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5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5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5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8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8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4" borderId="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4" borderId="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5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5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4" borderId="1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4" borderId="1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5" borderId="1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5" borderId="1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5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3" borderId="1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3" borderId="1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8" borderId="1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8" borderId="1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" fillId="0" borderId="22" xfId="0" applyNumberFormat="1" applyFont="1" applyBorder="1" applyAlignment="1">
          <x:alignment horizontal="center" vertical="center"/>
        </x:xf>
      </mc:Fallback>
    </mc:AlternateContent>
    <x:xf numFmtId="166" fontId="13" fillId="0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6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4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4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6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6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44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44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3" borderId="5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3" borderId="5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3" borderId="4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3" borderId="4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6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6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6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6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6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6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6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6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6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6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6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6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6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6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6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7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7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6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7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7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7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  <x:cellStyle name="쉼표 [0]" xfId="1" builtinId="6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C:/Users/LG/Documents/2026%20&#44277;&#44277;&#44592;&#44288;%20AI%20&#54532;&#47196;&#51229;&#53944;%20&#52300;&#47536;&#51648;&#47484;%20Job&#50500;&#46972;/&#54620;&#44397;&#49324;&#54924;&#48372;&#51109;&#51221;&#48372;&#50896;_&#49328;&#54617;&#54801;&#47141;%20&#54532;&#47196;&#51229;&#53944;%20&#44284;&#51228;5_&#44284;&#51228;%20&#49444;&#47749;&#51088;&#47308;%20&#48143;%20&#45936;&#51060;&#53552;/2026%20&#51312;&#44204;&#54364;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고시 본문"/>
      <x:sheetName val="부칙"/>
      <x:sheetName val="인정조사"/>
      <x:sheetName val="산정특례"/>
      <x:sheetName val="종합조사"/>
    </x:sheetNames>
    <x:sheetDataSet>
      <x:sheetData sheetId="0" refreshError="0"/>
      <x:sheetData sheetId="1" refreshError="0"/>
      <x:sheetData sheetId="2" refreshError="0"/>
      <x:sheetData sheetId="3" refreshError="0">
        <x:row r="4">
          <x:cell r="U4">
            <x:v>216200</x:v>
          </x:cell>
        </x:row>
      </x:sheetData>
      <x:sheetData sheetId="4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1:AT28"/>
  <x:sheetViews>
    <x:sheetView tabSelected="1" topLeftCell="A1" zoomScaleNormal="100" zoomScaleSheetLayoutView="100" workbookViewId="0">
      <x:selection activeCell="E12" activeCellId="0" sqref="E12:E12"/>
    </x:sheetView>
  </x:sheetViews>
  <x:sheetFormatPr defaultColWidth="8.796875" defaultRowHeight="16.39999999999999857891"/>
  <x:cols>
    <x:col min="2" max="2" width="14.6015625" customWidth="1"/>
    <x:col min="3" max="3" width="34.30078125" customWidth="1"/>
    <x:col min="4" max="4" width="12.19921875" customWidth="1"/>
    <x:col min="5" max="8" width="12.77734375" customWidth="1"/>
    <x:col min="9" max="9" width="14.80078125" customWidth="1"/>
    <x:col min="10" max="13" width="10.77734375" customWidth="1"/>
    <x:col min="42" max="42" width="8.6015625" customWidth="1"/>
  </x:cols>
  <x:sheetData>
    <x:row r="1" spans="5:13">
      <x:c r="E1" s="13" t="s">
        <x:v>35</x:v>
      </x:c>
      <x:c r="F1" s="14">
        <x:v>17270</x:v>
      </x:c>
      <x:c r="G1" s="15" t="s">
        <x:v>45</x:v>
      </x:c>
      <x:c r="H1" s="16">
        <x:v>16620</x:v>
      </x:c>
      <x:c r="I1" s="17" t="s">
        <x:v>69</x:v>
      </x:c>
      <x:c r="J1" s="17" t="s">
        <x:v>38</x:v>
      </x:c>
      <x:c r="K1" s="17" t="s">
        <x:v>49</x:v>
      </x:c>
      <x:c r="L1" s="17" t="s">
        <x:v>44</x:v>
      </x:c>
      <x:c r="M1" s="17" t="s">
        <x:v>43</x:v>
      </x:c>
    </x:row>
    <x:row r="2" spans="5:13">
      <x:c r="E2" s="18" t="s">
        <x:v>50</x:v>
      </x:c>
      <x:c r="F2" s="16">
        <x:v>3089062</x:v>
      </x:c>
      <x:c r="G2" s="19">
        <x:f>ROUNDDOWN(F2*0.05,-2)</x:f>
        <x:v>154400</x:v>
      </x:c>
      <x:c r="H2" s="20" t="s">
        <x:v>63</x:v>
      </x:c>
      <x:c r="I2" s="21" t="s">
        <x:v>46</x:v>
      </x:c>
      <x:c r="J2" s="21">
        <x:v>0.059999999999999998</x:v>
      </x:c>
      <x:c r="K2" s="21">
        <x:v>0.089999999999999991</x:v>
      </x:c>
      <x:c r="L2" s="21">
        <x:v>0.12</x:v>
      </x:c>
      <x:c r="M2" s="21">
        <x:v>0.14999999999999999</x:v>
      </x:c>
    </x:row>
    <x:row r="3" spans="5:13">
      <x:c r="E3" s="22"/>
      <x:c r="F3" s="12"/>
      <x:c r="G3" s="23"/>
      <x:c r="H3" s="23"/>
      <x:c r="I3" s="21" t="s">
        <x:v>47</x:v>
      </x:c>
      <x:c r="J3" s="21">
        <x:v>0.020000000000000001</x:v>
      </x:c>
      <x:c r="K3" s="21">
        <x:v>0.029999999999999999</x:v>
      </x:c>
      <x:c r="L3" s="21">
        <x:v>0.040000000000000002</x:v>
      </x:c>
      <x:c r="M3" s="21">
        <x:v>0.05</x:v>
      </x:c>
    </x:row>
    <x:row r="6" spans="3:46" ht="22.44999999999999928946">
      <x:c r="C6" s="111" t="s">
        <x:v>25</x:v>
      </x:c>
      <x:c r="D6" s="112"/>
      <x:c r="E6" s="112"/>
      <x:c r="F6" s="112"/>
      <x:c r="G6" s="112"/>
      <x:c r="H6" s="112"/>
      <x:c r="I6" s="112"/>
      <x:c r="J6" s="113"/>
      <x:c r="K6" s="112" t="s">
        <x:v>41</x:v>
      </x:c>
      <x:c r="L6" s="112"/>
      <x:c r="M6" s="112"/>
      <x:c r="N6" s="112"/>
      <x:c r="O6" s="112"/>
      <x:c r="P6" s="112"/>
      <x:c r="Q6" s="112"/>
      <x:c r="R6" s="112"/>
      <x:c r="S6" s="112"/>
      <x:c r="T6" s="112"/>
      <x:c r="U6" s="112"/>
      <x:c r="V6" s="112"/>
      <x:c r="W6" s="112"/>
      <x:c r="X6" s="112"/>
      <x:c r="Y6" s="112"/>
      <x:c r="Z6" s="112"/>
      <x:c r="AA6" s="112"/>
      <x:c r="AB6" s="112"/>
      <x:c r="AC6" s="112"/>
      <x:c r="AD6" s="112"/>
      <x:c r="AE6" s="112"/>
      <x:c r="AF6" s="112"/>
      <x:c r="AG6" s="112"/>
      <x:c r="AH6" s="112"/>
      <x:c r="AI6" s="112"/>
      <x:c r="AJ6" s="112"/>
      <x:c r="AK6" s="112"/>
      <x:c r="AL6" s="112"/>
      <x:c r="AM6" s="112"/>
      <x:c r="AN6" s="112"/>
      <x:c r="AO6" s="112"/>
      <x:c r="AP6" s="112"/>
      <x:c r="AQ6" s="112"/>
      <x:c r="AR6" s="112"/>
      <x:c r="AS6" s="112"/>
      <x:c r="AT6" s="113"/>
    </x:row>
    <x:row r="7" spans="3:46">
      <x:c r="C7" s="114" t="s">
        <x:v>40</x:v>
      </x:c>
      <x:c r="D7" s="116" t="s">
        <x:v>48</x:v>
      </x:c>
      <x:c r="E7" s="118" t="s">
        <x:v>33</x:v>
      </x:c>
      <x:c r="F7" s="120" t="s">
        <x:v>37</x:v>
      </x:c>
      <x:c r="G7" s="121"/>
      <x:c r="H7" s="122" t="s">
        <x:v>42</x:v>
      </x:c>
      <x:c r="I7" s="123"/>
      <x:c r="J7" s="124"/>
      <x:c r="K7" s="125" t="s">
        <x:v>34</x:v>
      </x:c>
      <x:c r="L7" s="126"/>
      <x:c r="M7" s="126"/>
      <x:c r="N7" s="126"/>
      <x:c r="O7" s="126"/>
      <x:c r="P7" s="126"/>
      <x:c r="Q7" s="127" t="s">
        <x:v>24</x:v>
      </x:c>
      <x:c r="R7" s="126"/>
      <x:c r="S7" s="126"/>
      <x:c r="T7" s="126"/>
      <x:c r="U7" s="126"/>
      <x:c r="V7" s="128"/>
      <x:c r="W7" s="129" t="s">
        <x:v>27</x:v>
      </x:c>
      <x:c r="X7" s="126"/>
      <x:c r="Y7" s="126"/>
      <x:c r="Z7" s="126"/>
      <x:c r="AA7" s="126"/>
      <x:c r="AB7" s="128"/>
      <x:c r="AC7" s="130" t="s">
        <x:v>64</x:v>
      </x:c>
      <x:c r="AD7" s="131"/>
      <x:c r="AE7" s="131"/>
      <x:c r="AF7" s="131"/>
      <x:c r="AG7" s="131"/>
      <x:c r="AH7" s="132"/>
      <x:c r="AI7" s="130" t="s">
        <x:v>0</x:v>
      </x:c>
      <x:c r="AJ7" s="131"/>
      <x:c r="AK7" s="131"/>
      <x:c r="AL7" s="131"/>
      <x:c r="AM7" s="131"/>
      <x:c r="AN7" s="132"/>
      <x:c r="AO7" s="133" t="s">
        <x:v>1</x:v>
      </x:c>
      <x:c r="AP7" s="131"/>
      <x:c r="AQ7" s="131"/>
      <x:c r="AR7" s="131"/>
      <x:c r="AS7" s="131"/>
      <x:c r="AT7" s="134"/>
    </x:row>
    <x:row r="8" spans="3:46" ht="26.35000000000000142109">
      <x:c r="C8" s="115"/>
      <x:c r="D8" s="117"/>
      <x:c r="E8" s="119"/>
      <x:c r="F8" s="153" t="s">
        <x:v>67</x:v>
      </x:c>
      <x:c r="G8" s="25" t="s">
        <x:v>66</x:v>
      </x:c>
      <x:c r="H8" s="26" t="s">
        <x:v>9</x:v>
      </x:c>
      <x:c r="I8" s="27" t="s">
        <x:v>67</x:v>
      </x:c>
      <x:c r="J8" s="28" t="s">
        <x:v>66</x:v>
      </x:c>
      <x:c r="K8" s="29" t="s">
        <x:v>4</x:v>
      </x:c>
      <x:c r="L8" s="30" t="s">
        <x:v>2</x:v>
      </x:c>
      <x:c r="M8" s="24" t="s">
        <x:v>38</x:v>
      </x:c>
      <x:c r="N8" s="24" t="s">
        <x:v>49</x:v>
      </x:c>
      <x:c r="O8" s="24" t="s">
        <x:v>44</x:v>
      </x:c>
      <x:c r="P8" s="24" t="s">
        <x:v>43</x:v>
      </x:c>
      <x:c r="Q8" s="31" t="s">
        <x:v>4</x:v>
      </x:c>
      <x:c r="R8" s="32" t="s">
        <x:v>2</x:v>
      </x:c>
      <x:c r="S8" s="24" t="s">
        <x:v>38</x:v>
      </x:c>
      <x:c r="T8" s="24" t="s">
        <x:v>49</x:v>
      </x:c>
      <x:c r="U8" s="24" t="s">
        <x:v>44</x:v>
      </x:c>
      <x:c r="V8" s="24" t="s">
        <x:v>43</x:v>
      </x:c>
      <x:c r="W8" s="33" t="s">
        <x:v>4</x:v>
      </x:c>
      <x:c r="X8" s="32" t="s">
        <x:v>2</x:v>
      </x:c>
      <x:c r="Y8" s="24" t="s">
        <x:v>38</x:v>
      </x:c>
      <x:c r="Z8" s="24" t="s">
        <x:v>49</x:v>
      </x:c>
      <x:c r="AA8" s="24" t="s">
        <x:v>44</x:v>
      </x:c>
      <x:c r="AB8" s="24" t="s">
        <x:v>43</x:v>
      </x:c>
      <x:c r="AC8" s="34" t="s">
        <x:v>4</x:v>
      </x:c>
      <x:c r="AD8" s="35" t="s">
        <x:v>2</x:v>
      </x:c>
      <x:c r="AE8" s="27" t="s">
        <x:v>38</x:v>
      </x:c>
      <x:c r="AF8" s="27" t="s">
        <x:v>49</x:v>
      </x:c>
      <x:c r="AG8" s="27" t="s">
        <x:v>44</x:v>
      </x:c>
      <x:c r="AH8" s="27" t="s">
        <x:v>43</x:v>
      </x:c>
      <x:c r="AI8" s="34" t="s">
        <x:v>4</x:v>
      </x:c>
      <x:c r="AJ8" s="35" t="s">
        <x:v>2</x:v>
      </x:c>
      <x:c r="AK8" s="27" t="s">
        <x:v>38</x:v>
      </x:c>
      <x:c r="AL8" s="27" t="s">
        <x:v>49</x:v>
      </x:c>
      <x:c r="AM8" s="27" t="s">
        <x:v>44</x:v>
      </x:c>
      <x:c r="AN8" s="27" t="s">
        <x:v>43</x:v>
      </x:c>
      <x:c r="AO8" s="34" t="s">
        <x:v>4</x:v>
      </x:c>
      <x:c r="AP8" s="36" t="s">
        <x:v>2</x:v>
      </x:c>
      <x:c r="AQ8" s="27" t="s">
        <x:v>38</x:v>
      </x:c>
      <x:c r="AR8" s="27" t="s">
        <x:v>49</x:v>
      </x:c>
      <x:c r="AS8" s="27" t="s">
        <x:v>44</x:v>
      </x:c>
      <x:c r="AT8" s="28" t="s">
        <x:v>43</x:v>
      </x:c>
    </x:row>
    <x:row r="9" spans="3:46">
      <x:c r="C9" s="37" t="s">
        <x:v>7</x:v>
      </x:c>
      <x:c r="D9" s="38">
        <x:f>E9/$F$1</x:f>
        <x:v>118.18181818181819</x:v>
      </x:c>
      <x:c r="E9" s="39">
        <x:v>2041000</x:v>
      </x:c>
      <x:c r="F9" s="40">
        <x:f>ROUNDUP((D9-0)*$F$1,-3)</x:f>
        <x:v>2041000</x:v>
      </x:c>
      <x:c r="G9" s="40">
        <x:f>ROUNDUP((D9-22)*$F$1,-3)</x:f>
        <x:v>1662000</x:v>
      </x:c>
      <x:c r="H9" s="41">
        <x:f t="shared" ref="H9:J12" si="0">E9/2</x:f>
        <x:v>1020500</x:v>
      </x:c>
      <x:c r="I9" s="40">
        <x:f t="shared" si="0"/>
        <x:v>1020500</x:v>
      </x:c>
      <x:c r="J9" s="40">
        <x:f t="shared" si="0"/>
        <x:v>831000</x:v>
      </x:c>
      <x:c r="K9" s="42" t="s">
        <x:v>5</x:v>
      </x:c>
      <x:c r="L9" s="40">
        <x:v>20000</x:v>
      </x:c>
      <x:c r="M9" s="43">
        <x:f>IF(ROUNDDOWN($E9*$J$2,-2)&gt;$G$2,$G$2,ROUNDDOWN($E9*$J$2,-2))</x:f>
        <x:v>122400</x:v>
      </x:c>
      <x:c r="N9" s="43">
        <x:f>IF(ROUNDDOWN($E9*$K$2,-2)&gt;$G$2,$G$2,ROUNDDOWN($E9*$K$2,-2))</x:f>
        <x:v>154400</x:v>
      </x:c>
      <x:c r="O9" s="43">
        <x:f>IF(ROUNDDOWN($E9*$L$2,-2)&gt;$G$2,$G$2,ROUNDDOWN($E9*$L$2,-2))</x:f>
        <x:v>154400</x:v>
      </x:c>
      <x:c r="P9" s="43">
        <x:f>IF(ROUNDDOWN($E9*$M$2,-2)&gt;$G$2,$G$2,ROUNDDOWN($E9*$M$2,-2))</x:f>
        <x:v>154400</x:v>
      </x:c>
      <x:c r="Q9" s="44" t="s">
        <x:v>5</x:v>
      </x:c>
      <x:c r="R9" s="40">
        <x:v>20000</x:v>
      </x:c>
      <x:c r="S9" s="43">
        <x:f>IF(ROUNDDOWN($F9*$J$2,-2)&gt;$G$2,$G$2,ROUNDDOWN($F9*$J$2,-2))</x:f>
        <x:v>122400</x:v>
      </x:c>
      <x:c r="T9" s="43">
        <x:f>IF(ROUNDDOWN($F9*$K$2,-2)&gt;$G$2,$G$2,ROUNDDOWN($F9*$K$2,-2))</x:f>
        <x:v>154400</x:v>
      </x:c>
      <x:c r="U9" s="43">
        <x:f>IF(ROUNDDOWN($F9*$L$2,-2)&gt;$G$2,$G$2,ROUNDDOWN($F9*$L$2,-2))</x:f>
        <x:v>154400</x:v>
      </x:c>
      <x:c r="V9" s="43">
        <x:f>IF(ROUNDDOWN($F9*$M$2,-2)&gt;$G$2,$G$2,ROUNDDOWN($F9*$M$2,-2))</x:f>
        <x:v>154400</x:v>
      </x:c>
      <x:c r="W9" s="45" t="s">
        <x:v>5</x:v>
      </x:c>
      <x:c r="X9" s="40" t="s">
        <x:v>5</x:v>
      </x:c>
      <x:c r="Y9" s="43">
        <x:f>IF(ROUNDDOWN($G9*$J$2,-2)&gt;$G$2,$G$2,ROUNDDOWN($G9*$J$2,-2))</x:f>
        <x:v>99700</x:v>
      </x:c>
      <x:c r="Z9" s="43">
        <x:f>IF(ROUNDDOWN($G9*$K$2,-2)&gt;$G$2,$G$2,ROUNDDOWN($G9*$K$2,-2))</x:f>
        <x:v>149500</x:v>
      </x:c>
      <x:c r="AA9" s="43">
        <x:f>IF(ROUNDDOWN($G9*$L$2,-2)&gt;$G$2,$G$2,ROUNDDOWN($G9*$L$2,-2))</x:f>
        <x:v>154400</x:v>
      </x:c>
      <x:c r="AB9" s="43">
        <x:f>IF(ROUNDDOWN($G9*$M$2,-2)&gt;$G$2,$G$2,ROUNDDOWN($G9*$M$2,-2))</x:f>
        <x:v>154400</x:v>
      </x:c>
      <x:c r="AC9" s="45" t="s">
        <x:v>5</x:v>
      </x:c>
      <x:c r="AD9" s="40">
        <x:v>20000</x:v>
      </x:c>
      <x:c r="AE9" s="43">
        <x:f>IF(ROUNDDOWN($H9*$J$2,-2)&gt;$G$2,$G$2,ROUNDDOWN($H9*$J$2,-2))</x:f>
        <x:v>61200</x:v>
      </x:c>
      <x:c r="AF9" s="43">
        <x:f>IF(ROUNDDOWN($H9*$K$2,-2)&gt;$G$2,$G$2,ROUNDDOWN($H9*$K$2,-2))</x:f>
        <x:v>91800</x:v>
      </x:c>
      <x:c r="AG9" s="43">
        <x:f>IF(ROUNDDOWN($H9*$L$2,-2)&gt;$G$2,$G$2,ROUNDDOWN($H9*$L$2,-2))</x:f>
        <x:v>122400</x:v>
      </x:c>
      <x:c r="AH9" s="43">
        <x:f>IF(ROUNDDOWN($H9*$M$2,-2)&gt;$G$2,$G$2,ROUNDDOWN($H9*$M$2,-2))</x:f>
        <x:v>153000</x:v>
      </x:c>
      <x:c r="AI9" s="45" t="s">
        <x:v>5</x:v>
      </x:c>
      <x:c r="AJ9" s="40">
        <x:v>20000</x:v>
      </x:c>
      <x:c r="AK9" s="43">
        <x:f>IF(ROUNDDOWN($I9*$J$2,-2)&gt;$G$2,$G$2,ROUNDDOWN($I9*$J$2,-2))</x:f>
        <x:v>61200</x:v>
      </x:c>
      <x:c r="AL9" s="43">
        <x:f>IF(ROUNDDOWN($I9*$K$2,-2)&gt;$G$2,$G$2,ROUNDDOWN($I9*$K$2,-2))</x:f>
        <x:v>91800</x:v>
      </x:c>
      <x:c r="AM9" s="43">
        <x:f>IF(ROUNDDOWN($I9*$L$2,-2)&gt;$G$2,$G$2,ROUNDDOWN($I9*$L$2,-2))</x:f>
        <x:v>122400</x:v>
      </x:c>
      <x:c r="AN9" s="43">
        <x:f>IF(ROUNDDOWN($I9*$M$2,-2)&gt;$G$2,$G$2,ROUNDDOWN($I9*$M$2,-2))</x:f>
        <x:v>153000</x:v>
      </x:c>
      <x:c r="AO9" s="45" t="s">
        <x:v>5</x:v>
      </x:c>
      <x:c r="AP9" s="40" t="s">
        <x:v>5</x:v>
      </x:c>
      <x:c r="AQ9" s="43">
        <x:f>IF(ROUNDDOWN($J9*$J$2,-2)&gt;$G$2,$G$2,ROUNDDOWN($J9*$J$2,-2))</x:f>
        <x:v>49800</x:v>
      </x:c>
      <x:c r="AR9" s="43">
        <x:f>IF(ROUNDDOWN($J9*$K$2,-2)&gt;$G$2,$G$2,ROUNDDOWN($J9*$K$2,-2))</x:f>
        <x:v>74700</x:v>
      </x:c>
      <x:c r="AS9" s="43">
        <x:f>IF(ROUNDDOWN($J9*$L$2,-2)&gt;$G$2,$G$2,ROUNDDOWN($J9*$L$2,-2))</x:f>
        <x:v>99700</x:v>
      </x:c>
      <x:c r="AT9" s="46">
        <x:f>IF(ROUNDDOWN($J9*$M$2,-2)&gt;$G$2,$G$2,ROUNDDOWN($J9*$M$2,-2))</x:f>
        <x:v>124600</x:v>
      </x:c>
    </x:row>
    <x:row r="10" spans="3:46">
      <x:c r="C10" s="37" t="s">
        <x:v>3</x:v>
      </x:c>
      <x:c r="D10" s="38">
        <x:f>E10/$F$1</x:f>
        <x:v>94.209612044006946</x:v>
      </x:c>
      <x:c r="E10" s="39">
        <x:v>1627000</x:v>
      </x:c>
      <x:c r="F10" s="40">
        <x:f>ROUNDUP((D10-0)*$F$1,-3)</x:f>
        <x:v>1627000</x:v>
      </x:c>
      <x:c r="G10" s="40">
        <x:f>ROUNDUP((D10-22)*$F$1,-3)</x:f>
        <x:v>1248000</x:v>
      </x:c>
      <x:c r="H10" s="41">
        <x:f t="shared" si="0"/>
        <x:v>813500</x:v>
      </x:c>
      <x:c r="I10" s="40">
        <x:f t="shared" si="0"/>
        <x:v>813500</x:v>
      </x:c>
      <x:c r="J10" s="40">
        <x:f t="shared" si="0"/>
        <x:v>624000</x:v>
      </x:c>
      <x:c r="K10" s="42" t="s">
        <x:v>5</x:v>
      </x:c>
      <x:c r="L10" s="40">
        <x:v>20000</x:v>
      </x:c>
      <x:c r="M10" s="43">
        <x:f>IF(ROUNDDOWN($E10*$J$2,-2)&gt;$G$2,$G$2,ROUNDDOWN($E10*$J$2,-2))</x:f>
        <x:v>97600</x:v>
      </x:c>
      <x:c r="N10" s="43">
        <x:f>IF(ROUNDDOWN($E10*$K$2,-2)&gt;$G$2,$G$2,ROUNDDOWN($E10*$K$2,-2))</x:f>
        <x:v>146400</x:v>
      </x:c>
      <x:c r="O10" s="43">
        <x:f>IF(ROUNDDOWN($E10*$L$2,-2)&gt;$G$2,$G$2,ROUNDDOWN($E10*$L$2,-2))</x:f>
        <x:v>154400</x:v>
      </x:c>
      <x:c r="P10" s="43">
        <x:f>IF(ROUNDDOWN($E10*$M$2,-2)&gt;$G$2,$G$2,ROUNDDOWN($E10*$M$2,-2))</x:f>
        <x:v>154400</x:v>
      </x:c>
      <x:c r="Q10" s="44" t="s">
        <x:v>5</x:v>
      </x:c>
      <x:c r="R10" s="40">
        <x:v>20000</x:v>
      </x:c>
      <x:c r="S10" s="43">
        <x:f>IF(ROUNDDOWN($F10*$J$2,-2)&gt;$G$2,$G$2,ROUNDDOWN($F10*$J$2,-2))</x:f>
        <x:v>97600</x:v>
      </x:c>
      <x:c r="T10" s="43">
        <x:f>IF(ROUNDDOWN($F10*$K$2,-2)&gt;$G$2,$G$2,ROUNDDOWN($F10*$K$2,-2))</x:f>
        <x:v>146400</x:v>
      </x:c>
      <x:c r="U10" s="43">
        <x:f>IF(ROUNDDOWN($F10*$L$2,-2)&gt;$G$2,$G$2,ROUNDDOWN($F10*$L$2,-2))</x:f>
        <x:v>154400</x:v>
      </x:c>
      <x:c r="V10" s="43">
        <x:f>IF(ROUNDDOWN($F10*$M$2,-2)&gt;$G$2,$G$2,ROUNDDOWN($F10*$M$2,-2))</x:f>
        <x:v>154400</x:v>
      </x:c>
      <x:c r="W10" s="45" t="s">
        <x:v>5</x:v>
      </x:c>
      <x:c r="X10" s="40" t="s">
        <x:v>5</x:v>
      </x:c>
      <x:c r="Y10" s="43">
        <x:f>IF(ROUNDDOWN($G10*$J$2,-2)&gt;$G$2,$G$2,ROUNDDOWN($G10*$J$2,-2))</x:f>
        <x:v>74800</x:v>
      </x:c>
      <x:c r="Z10" s="43">
        <x:f>IF(ROUNDDOWN($G10*$K$2,-2)&gt;$G$2,$G$2,ROUNDDOWN($G10*$K$2,-2))</x:f>
        <x:v>112300</x:v>
      </x:c>
      <x:c r="AA10" s="43">
        <x:f>IF(ROUNDDOWN($G10*$L$2,-2)&gt;$G$2,$G$2,ROUNDDOWN($G10*$L$2,-2))</x:f>
        <x:v>149700</x:v>
      </x:c>
      <x:c r="AB10" s="43">
        <x:f>IF(ROUNDDOWN($G10*$M$2,-2)&gt;$G$2,$G$2,ROUNDDOWN($G10*$M$2,-2))</x:f>
        <x:v>154400</x:v>
      </x:c>
      <x:c r="AC10" s="45" t="s">
        <x:v>5</x:v>
      </x:c>
      <x:c r="AD10" s="40">
        <x:v>20000</x:v>
      </x:c>
      <x:c r="AE10" s="43">
        <x:f>IF(ROUNDDOWN($H10*$J$2,-2)&gt;$G$2,$G$2,ROUNDDOWN($H10*$J$2,-2))</x:f>
        <x:v>48800</x:v>
      </x:c>
      <x:c r="AF10" s="43">
        <x:f>IF(ROUNDDOWN($H10*$K$2,-2)&gt;$G$2,$G$2,ROUNDDOWN($H10*$K$2,-2))</x:f>
        <x:v>73200</x:v>
      </x:c>
      <x:c r="AG10" s="43">
        <x:f>IF(ROUNDDOWN($H10*$L$2,-2)&gt;$G$2,$G$2,ROUNDDOWN($H10*$L$2,-2))</x:f>
        <x:v>97600</x:v>
      </x:c>
      <x:c r="AH10" s="47">
        <x:f>IF(ROUNDDOWN($H10*$M$2,-2)&gt;$G$2,$G$2,ROUNDDOWN($H10*$M$2,-2))</x:f>
        <x:v>122000</x:v>
      </x:c>
      <x:c r="AI10" s="45" t="s">
        <x:v>5</x:v>
      </x:c>
      <x:c r="AJ10" s="40">
        <x:v>20000</x:v>
      </x:c>
      <x:c r="AK10" s="43">
        <x:f>IF(ROUNDDOWN($I10*$J$2,-2)&gt;$G$2,$G$2,ROUNDDOWN($I10*$J$2,-2))</x:f>
        <x:v>48800</x:v>
      </x:c>
      <x:c r="AL10" s="43">
        <x:f>IF(ROUNDDOWN($I10*$K$2,-2)&gt;$G$2,$G$2,ROUNDDOWN($I10*$K$2,-2))</x:f>
        <x:v>73200</x:v>
      </x:c>
      <x:c r="AM10" s="43">
        <x:f>IF(ROUNDDOWN($I10*$L$2,-2)&gt;$G$2,$G$2,ROUNDDOWN($I10*$L$2,-2))</x:f>
        <x:v>97600</x:v>
      </x:c>
      <x:c r="AN10" s="47">
        <x:f>IF(ROUNDDOWN($I10*$M$2,-2)&gt;$G$2,$G$2,ROUNDDOWN($I10*$M$2,-2))</x:f>
        <x:v>122000</x:v>
      </x:c>
      <x:c r="AO10" s="48" t="s">
        <x:v>5</x:v>
      </x:c>
      <x:c r="AP10" s="40" t="s">
        <x:v>5</x:v>
      </x:c>
      <x:c r="AQ10" s="43">
        <x:f>IF(ROUNDDOWN($J10*$J$2,-2)&gt;$G$2,$G$2,ROUNDDOWN($J10*$J$2,-2))</x:f>
        <x:v>37400</x:v>
      </x:c>
      <x:c r="AR10" s="43">
        <x:f>IF(ROUNDDOWN($J10*$K$2,-2)&gt;$G$2,$G$2,ROUNDDOWN($J10*$K$2,-2))</x:f>
        <x:v>56100</x:v>
      </x:c>
      <x:c r="AS10" s="43">
        <x:f>IF(ROUNDDOWN($J10*$L$2,-2)&gt;$G$2,$G$2,ROUNDDOWN($J10*$L$2,-2))</x:f>
        <x:v>74800</x:v>
      </x:c>
      <x:c r="AT10" s="46">
        <x:f>IF(ROUNDDOWN($J10*$M$2,-2)&gt;$G$2,$G$2,ROUNDDOWN($J10*$M$2,-2))</x:f>
        <x:v>93600</x:v>
      </x:c>
    </x:row>
    <x:row r="11" spans="3:46">
      <x:c r="C11" s="37" t="s">
        <x:v>11</x:v>
      </x:c>
      <x:c r="D11" s="38">
        <x:f>E11/$F$1</x:f>
        <x:v>71.221771858714533</x:v>
      </x:c>
      <x:c r="E11" s="39">
        <x:v>1230000</x:v>
      </x:c>
      <x:c r="F11" s="40">
        <x:f>ROUNDUP((D11-0)*$F$1,-3)</x:f>
        <x:v>1230000</x:v>
      </x:c>
      <x:c r="G11" s="40">
        <x:f>ROUNDUP((D11-22)*$F$1,-3)</x:f>
        <x:v>851000</x:v>
      </x:c>
      <x:c r="H11" s="41">
        <x:f t="shared" si="0"/>
        <x:v>615000</x:v>
      </x:c>
      <x:c r="I11" s="40">
        <x:f t="shared" si="0"/>
        <x:v>615000</x:v>
      </x:c>
      <x:c r="J11" s="40">
        <x:f t="shared" si="0"/>
        <x:v>425500</x:v>
      </x:c>
      <x:c r="K11" s="42" t="s">
        <x:v>5</x:v>
      </x:c>
      <x:c r="L11" s="40">
        <x:v>20000</x:v>
      </x:c>
      <x:c r="M11" s="43">
        <x:f>IF(ROUNDDOWN($E11*$J$2,-2)&gt;$G$2,$G$2,ROUNDDOWN($E11*$J$2,-2))</x:f>
        <x:v>73800</x:v>
      </x:c>
      <x:c r="N11" s="43">
        <x:f>IF(ROUNDDOWN($E11*$K$2,-2)&gt;$G$2,$G$2,ROUNDDOWN($E11*$K$2,-2))</x:f>
        <x:v>110700</x:v>
      </x:c>
      <x:c r="O11" s="43">
        <x:f>IF(ROUNDDOWN($E11*$L$2,-2)&gt;$G$2,$G$2,ROUNDDOWN($E11*$L$2,-2))</x:f>
        <x:v>147600</x:v>
      </x:c>
      <x:c r="P11" s="43">
        <x:f>IF(ROUNDDOWN($E11*$M$2,-2)&gt;$G$2,$G$2,ROUNDDOWN($E11*$M$2,-2))</x:f>
        <x:v>154400</x:v>
      </x:c>
      <x:c r="Q11" s="44" t="s">
        <x:v>5</x:v>
      </x:c>
      <x:c r="R11" s="40">
        <x:v>20000</x:v>
      </x:c>
      <x:c r="S11" s="43">
        <x:f>IF(ROUNDDOWN($F11*$J$2,-2)&gt;$G$2,$G$2,ROUNDDOWN($F11*$J$2,-2))</x:f>
        <x:v>73800</x:v>
      </x:c>
      <x:c r="T11" s="43">
        <x:f>IF(ROUNDDOWN($F11*$K$2,-2)&gt;$G$2,$G$2,ROUNDDOWN($F11*$K$2,-2))</x:f>
        <x:v>110700</x:v>
      </x:c>
      <x:c r="U11" s="43">
        <x:f>IF(ROUNDDOWN($F11*$L$2,-2)&gt;$G$2,$G$2,ROUNDDOWN($F11*$L$2,-2))</x:f>
        <x:v>147600</x:v>
      </x:c>
      <x:c r="V11" s="43">
        <x:f>IF(ROUNDDOWN($F11*$M$2,-2)&gt;$G$2,$G$2,ROUNDDOWN($F11*$M$2,-2))</x:f>
        <x:v>154400</x:v>
      </x:c>
      <x:c r="W11" s="45" t="s">
        <x:v>5</x:v>
      </x:c>
      <x:c r="X11" s="40" t="s">
        <x:v>5</x:v>
      </x:c>
      <x:c r="Y11" s="43">
        <x:f>IF(ROUNDDOWN($G11*$J$2,-2)&gt;$G$2,$G$2,ROUNDDOWN($G11*$J$2,-2))</x:f>
        <x:v>51000</x:v>
      </x:c>
      <x:c r="Z11" s="43">
        <x:f>IF(ROUNDDOWN($G11*$K$2,-2)&gt;$G$2,$G$2,ROUNDDOWN($G11*$K$2,-2))</x:f>
        <x:v>76500</x:v>
      </x:c>
      <x:c r="AA11" s="43">
        <x:f>IF(ROUNDDOWN($G11*$L$2,-2)&gt;$G$2,$G$2,ROUNDDOWN($G11*$L$2,-2))</x:f>
        <x:v>102100</x:v>
      </x:c>
      <x:c r="AB11" s="47">
        <x:f>IF(ROUNDDOWN($G11*$M$2,-2)&gt;$G$2,$G$2,ROUNDDOWN($G11*$M$2,-2))</x:f>
        <x:v>127600</x:v>
      </x:c>
      <x:c r="AC11" s="45" t="s">
        <x:v>5</x:v>
      </x:c>
      <x:c r="AD11" s="40">
        <x:v>20000</x:v>
      </x:c>
      <x:c r="AE11" s="43">
        <x:f>IF(ROUNDDOWN($H11*$J$2,-2)&gt;$G$2,$G$2,ROUNDDOWN($H11*$J$2,-2))</x:f>
        <x:v>36900</x:v>
      </x:c>
      <x:c r="AF11" s="43">
        <x:f>IF(ROUNDDOWN($H11*$K$2,-2)&gt;$G$2,$G$2,ROUNDDOWN($H11*$K$2,-2))</x:f>
        <x:v>55300</x:v>
      </x:c>
      <x:c r="AG11" s="43">
        <x:f>IF(ROUNDDOWN($H11*$L$2,-2)&gt;$G$2,$G$2,ROUNDDOWN($H11*$L$2,-2))</x:f>
        <x:v>73800</x:v>
      </x:c>
      <x:c r="AH11" s="47">
        <x:f>IF(ROUNDDOWN($H11*$M$2,-2)&gt;$G$2,$G$2,ROUNDDOWN($H11*$M$2,-2))</x:f>
        <x:v>92200</x:v>
      </x:c>
      <x:c r="AI11" s="45" t="s">
        <x:v>5</x:v>
      </x:c>
      <x:c r="AJ11" s="40">
        <x:v>20000</x:v>
      </x:c>
      <x:c r="AK11" s="43">
        <x:f>IF(ROUNDDOWN($I11*$J$2,-2)&gt;$G$2,$G$2,ROUNDDOWN($I11*$J$2,-2))</x:f>
        <x:v>36900</x:v>
      </x:c>
      <x:c r="AL11" s="43">
        <x:f>IF(ROUNDDOWN($I11*$K$2,-2)&gt;$G$2,$G$2,ROUNDDOWN($I11*$K$2,-2))</x:f>
        <x:v>55300</x:v>
      </x:c>
      <x:c r="AM11" s="43">
        <x:f>IF(ROUNDDOWN($I11*$L$2,-2)&gt;$G$2,$G$2,ROUNDDOWN($I11*$L$2,-2))</x:f>
        <x:v>73800</x:v>
      </x:c>
      <x:c r="AN11" s="47">
        <x:f>IF(ROUNDDOWN($I11*$M$2,-2)&gt;$G$2,$G$2,ROUNDDOWN($I11*$M$2,-2))</x:f>
        <x:v>92200</x:v>
      </x:c>
      <x:c r="AO11" s="48" t="s">
        <x:v>5</x:v>
      </x:c>
      <x:c r="AP11" s="40" t="s">
        <x:v>5</x:v>
      </x:c>
      <x:c r="AQ11" s="43">
        <x:f>IF(ROUNDDOWN($J11*$J$2,-2)&gt;$G$2,$G$2,ROUNDDOWN($J11*$J$2,-2))</x:f>
        <x:v>25500</x:v>
      </x:c>
      <x:c r="AR11" s="43">
        <x:f>IF(ROUNDDOWN($J11*$K$2,-2)&gt;$G$2,$G$2,ROUNDDOWN($J11*$K$2,-2))</x:f>
        <x:v>38200</x:v>
      </x:c>
      <x:c r="AS11" s="43">
        <x:f>IF(ROUNDDOWN($J11*$L$2,-2)&gt;$G$2,$G$2,ROUNDDOWN($J11*$L$2,-2))</x:f>
        <x:v>51000</x:v>
      </x:c>
      <x:c r="AT11" s="46">
        <x:f>IF(ROUNDDOWN($J11*$M$2,-2)&gt;$G$2,$G$2,ROUNDDOWN($J11*$M$2,-2))</x:f>
        <x:v>63800</x:v>
      </x:c>
    </x:row>
    <x:row r="12" spans="3:46">
      <x:c r="C12" s="49" t="s">
        <x:v>8</x:v>
      </x:c>
      <x:c r="D12" s="50">
        <x:f>E12/$F$1</x:f>
        <x:v>47.191661841343368</x:v>
      </x:c>
      <x:c r="E12" s="51">
        <x:v>815000</x:v>
      </x:c>
      <x:c r="F12" s="52">
        <x:f>ROUNDUP((D12-0)*$F$1,-3)</x:f>
        <x:v>815000</x:v>
      </x:c>
      <x:c r="G12" s="52">
        <x:f>ROUNDUP((D12-22)*$F$1,-3)</x:f>
        <x:v>436000</x:v>
      </x:c>
      <x:c r="H12" s="53">
        <x:f t="shared" si="0"/>
        <x:v>407500</x:v>
      </x:c>
      <x:c r="I12" s="52">
        <x:f t="shared" si="0"/>
        <x:v>407500</x:v>
      </x:c>
      <x:c r="J12" s="52">
        <x:f t="shared" si="0"/>
        <x:v>218000</x:v>
      </x:c>
      <x:c r="K12" s="54" t="s">
        <x:v>5</x:v>
      </x:c>
      <x:c r="L12" s="52">
        <x:v>20000</x:v>
      </x:c>
      <x:c r="M12" s="55">
        <x:f>IF(ROUNDDOWN($E12*$J$2,-2)&gt;$G$2,$G$2,ROUNDDOWN($E12*$J$2,-2))</x:f>
        <x:v>48900</x:v>
      </x:c>
      <x:c r="N12" s="55">
        <x:f>IF(ROUNDDOWN($E12*$K$2,-2)&gt;$G$2,$G$2,ROUNDDOWN($E12*$K$2,-2))</x:f>
        <x:v>73300</x:v>
      </x:c>
      <x:c r="O12" s="55">
        <x:f>IF(ROUNDDOWN($E12*$L$2,-2)&gt;$G$2,$G$2,ROUNDDOWN($E12*$L$2,-2))</x:f>
        <x:v>97800</x:v>
      </x:c>
      <x:c r="P12" s="55">
        <x:f>IF(ROUNDDOWN($E12*$M$2,-2)&gt;$G$2,$G$2,ROUNDDOWN($E12*$M$2,-2))</x:f>
        <x:v>122200</x:v>
      </x:c>
      <x:c r="Q12" s="56" t="s">
        <x:v>5</x:v>
      </x:c>
      <x:c r="R12" s="52">
        <x:v>20000</x:v>
      </x:c>
      <x:c r="S12" s="55">
        <x:f>IF(ROUNDDOWN($F12*$J$2,-2)&gt;$G$2,$G$2,ROUNDDOWN($F12*$J$2,-2))</x:f>
        <x:v>48900</x:v>
      </x:c>
      <x:c r="T12" s="55">
        <x:f>IF(ROUNDDOWN($F12*$K$2,-2)&gt;$G$2,$G$2,ROUNDDOWN($F12*$K$2,-2))</x:f>
        <x:v>73300</x:v>
      </x:c>
      <x:c r="U12" s="55">
        <x:f>IF(ROUNDDOWN($F12*$L$2,-2)&gt;$G$2,$G$2,ROUNDDOWN($F12*$L$2,-2))</x:f>
        <x:v>97800</x:v>
      </x:c>
      <x:c r="V12" s="55">
        <x:f>IF(ROUNDDOWN($F12*$M$2,-2)&gt;$G$2,$G$2,ROUNDDOWN($F12*$M$2,-2))</x:f>
        <x:v>122200</x:v>
      </x:c>
      <x:c r="W12" s="57" t="s">
        <x:v>5</x:v>
      </x:c>
      <x:c r="X12" s="52" t="s">
        <x:v>5</x:v>
      </x:c>
      <x:c r="Y12" s="55">
        <x:f>IF(ROUNDDOWN($G12*$J$2,-2)&gt;$G$2,$G$2,ROUNDDOWN($G12*$J$2,-2))</x:f>
        <x:v>26100</x:v>
      </x:c>
      <x:c r="Z12" s="55">
        <x:f>IF(ROUNDDOWN($G12*$K$2,-2)&gt;$G$2,$G$2,ROUNDDOWN($G12*$K$2,-2))</x:f>
        <x:v>39200</x:v>
      </x:c>
      <x:c r="AA12" s="55">
        <x:f>IF(ROUNDDOWN($G12*$L$2,-2)&gt;$G$2,$G$2,ROUNDDOWN($G12*$L$2,-2))</x:f>
        <x:v>52300</x:v>
      </x:c>
      <x:c r="AB12" s="58">
        <x:f>IF(ROUNDDOWN($G12*$M$2,-2)&gt;$G$2,$G$2,ROUNDDOWN($G12*$M$2,-2))</x:f>
        <x:v>65400</x:v>
      </x:c>
      <x:c r="AC12" s="57" t="s">
        <x:v>5</x:v>
      </x:c>
      <x:c r="AD12" s="52">
        <x:v>20000</x:v>
      </x:c>
      <x:c r="AE12" s="55">
        <x:f>IF(ROUNDDOWN($H12*$J$2,-2)&gt;$G$2,$G$2,ROUNDDOWN($H12*$J$2,-2))</x:f>
        <x:v>24400</x:v>
      </x:c>
      <x:c r="AF12" s="55">
        <x:f>IF(ROUNDDOWN($H12*$K$2,-2)&gt;$G$2,$G$2,ROUNDDOWN($H12*$K$2,-2))</x:f>
        <x:v>36600</x:v>
      </x:c>
      <x:c r="AG12" s="55">
        <x:f>IF(ROUNDDOWN($H12*$L$2,-2)&gt;$G$2,$G$2,ROUNDDOWN($H12*$L$2,-2))</x:f>
        <x:v>48900</x:v>
      </x:c>
      <x:c r="AH12" s="58">
        <x:f>IF(ROUNDDOWN($H12*$M$2,-2)&gt;$G$2,$G$2,ROUNDDOWN($H12*$M$2,-2))</x:f>
        <x:v>61100</x:v>
      </x:c>
      <x:c r="AI12" s="57" t="s">
        <x:v>5</x:v>
      </x:c>
      <x:c r="AJ12" s="52">
        <x:v>20000</x:v>
      </x:c>
      <x:c r="AK12" s="55">
        <x:f>IF(ROUNDDOWN($I12*$J$2,-2)&gt;$G$2,$G$2,ROUNDDOWN($I12*$J$2,-2))</x:f>
        <x:v>24400</x:v>
      </x:c>
      <x:c r="AL12" s="55">
        <x:f>IF(ROUNDDOWN($I12*$K$2,-2)&gt;$G$2,$G$2,ROUNDDOWN($I12*$K$2,-2))</x:f>
        <x:v>36600</x:v>
      </x:c>
      <x:c r="AM12" s="55">
        <x:f>IF(ROUNDDOWN($I12*$L$2,-2)&gt;$G$2,$G$2,ROUNDDOWN($I12*$L$2,-2))</x:f>
        <x:v>48900</x:v>
      </x:c>
      <x:c r="AN12" s="58">
        <x:f>IF(ROUNDDOWN($I12*$M$2,-2)&gt;$G$2,$G$2,ROUNDDOWN($I12*$M$2,-2))</x:f>
        <x:v>61100</x:v>
      </x:c>
      <x:c r="AO12" s="59" t="s">
        <x:v>5</x:v>
      </x:c>
      <x:c r="AP12" s="52" t="s">
        <x:v>5</x:v>
      </x:c>
      <x:c r="AQ12" s="55">
        <x:f>IF(ROUNDDOWN($J12*$J$2,-2)&gt;$G$2,$G$2,ROUNDDOWN($J12*$J$2,-2))</x:f>
        <x:v>13000</x:v>
      </x:c>
      <x:c r="AR12" s="55">
        <x:f>IF(ROUNDDOWN($J12*$K$2,-2)&gt;$G$2,$G$2,ROUNDDOWN($J12*$K$2,-2))</x:f>
        <x:v>19600</x:v>
      </x:c>
      <x:c r="AS12" s="55">
        <x:f>IF(ROUNDDOWN($J12*$L$2,-2)&gt;$G$2,$G$2,ROUNDDOWN($J12*$L$2,-2))</x:f>
        <x:v>26100</x:v>
      </x:c>
      <x:c r="AT12" s="60">
        <x:f>IF(ROUNDDOWN($J12*$M$2,-2)&gt;$G$2,$G$2,ROUNDDOWN($J12*$M$2,-2))</x:f>
        <x:v>32700</x:v>
      </x:c>
    </x:row>
    <x:row r="15" spans="2:46" ht="22.85000000000000142109">
      <x:c r="B15" s="22"/>
      <x:c r="C15" s="135" t="s">
        <x:v>26</x:v>
      </x:c>
      <x:c r="D15" s="136"/>
      <x:c r="E15" s="136"/>
      <x:c r="F15" s="136"/>
      <x:c r="G15" s="136"/>
      <x:c r="H15" s="136"/>
      <x:c r="I15" s="136"/>
      <x:c r="J15" s="137"/>
      <x:c r="K15" s="138" t="s">
        <x:v>41</x:v>
      </x:c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  <x:c r="AK15" s="138"/>
      <x:c r="AL15" s="138"/>
      <x:c r="AM15" s="138"/>
      <x:c r="AN15" s="138"/>
      <x:c r="AO15" s="138"/>
      <x:c r="AP15" s="138"/>
      <x:c r="AQ15" s="138"/>
      <x:c r="AR15" s="138"/>
      <x:c r="AS15" s="138"/>
      <x:c r="AT15" s="139"/>
    </x:row>
    <x:row r="16" spans="2:46">
      <x:c r="B16" s="140" t="s">
        <x:v>61</x:v>
      </x:c>
      <x:c r="C16" s="114" t="s">
        <x:v>12</x:v>
      </x:c>
      <x:c r="D16" s="143" t="s">
        <x:v>48</x:v>
      </x:c>
      <x:c r="E16" s="116" t="s">
        <x:v>33</x:v>
      </x:c>
      <x:c r="F16" s="146" t="s">
        <x:v>37</x:v>
      </x:c>
      <x:c r="G16" s="121"/>
      <x:c r="H16" s="147" t="s">
        <x:v>42</x:v>
      </x:c>
      <x:c r="I16" s="148"/>
      <x:c r="J16" s="149"/>
      <x:c r="K16" s="125" t="s">
        <x:v>34</x:v>
      </x:c>
      <x:c r="L16" s="126"/>
      <x:c r="M16" s="126"/>
      <x:c r="N16" s="126"/>
      <x:c r="O16" s="126"/>
      <x:c r="P16" s="126"/>
      <x:c r="Q16" s="127" t="s">
        <x:v>24</x:v>
      </x:c>
      <x:c r="R16" s="126"/>
      <x:c r="S16" s="126"/>
      <x:c r="T16" s="126"/>
      <x:c r="U16" s="126"/>
      <x:c r="V16" s="128"/>
      <x:c r="W16" s="129" t="s">
        <x:v>27</x:v>
      </x:c>
      <x:c r="X16" s="126"/>
      <x:c r="Y16" s="126"/>
      <x:c r="Z16" s="126"/>
      <x:c r="AA16" s="126"/>
      <x:c r="AB16" s="128"/>
      <x:c r="AC16" s="130" t="s">
        <x:v>64</x:v>
      </x:c>
      <x:c r="AD16" s="131"/>
      <x:c r="AE16" s="131"/>
      <x:c r="AF16" s="131"/>
      <x:c r="AG16" s="131"/>
      <x:c r="AH16" s="132"/>
      <x:c r="AI16" s="150" t="s">
        <x:v>0</x:v>
      </x:c>
      <x:c r="AJ16" s="123"/>
      <x:c r="AK16" s="123"/>
      <x:c r="AL16" s="123"/>
      <x:c r="AM16" s="123"/>
      <x:c r="AN16" s="151"/>
      <x:c r="AO16" s="133" t="s">
        <x:v>1</x:v>
      </x:c>
      <x:c r="AP16" s="131"/>
      <x:c r="AQ16" s="131"/>
      <x:c r="AR16" s="131"/>
      <x:c r="AS16" s="131"/>
      <x:c r="AT16" s="134"/>
    </x:row>
    <x:row r="17" spans="2:46" ht="26.75">
      <x:c r="B17" s="141"/>
      <x:c r="C17" s="142"/>
      <x:c r="D17" s="144"/>
      <x:c r="E17" s="145"/>
      <x:c r="F17" s="61" t="s">
        <x:v>67</x:v>
      </x:c>
      <x:c r="G17" s="62" t="s">
        <x:v>66</x:v>
      </x:c>
      <x:c r="H17" s="63" t="s">
        <x:v>9</x:v>
      </x:c>
      <x:c r="I17" s="64" t="s">
        <x:v>67</x:v>
      </x:c>
      <x:c r="J17" s="65" t="s">
        <x:v>66</x:v>
      </x:c>
      <x:c r="K17" s="66" t="s">
        <x:v>4</x:v>
      </x:c>
      <x:c r="L17" s="67" t="s">
        <x:v>2</x:v>
      </x:c>
      <x:c r="M17" s="68" t="s">
        <x:v>38</x:v>
      </x:c>
      <x:c r="N17" s="68" t="s">
        <x:v>49</x:v>
      </x:c>
      <x:c r="O17" s="68" t="s">
        <x:v>44</x:v>
      </x:c>
      <x:c r="P17" s="68" t="s">
        <x:v>43</x:v>
      </x:c>
      <x:c r="Q17" s="69" t="s">
        <x:v>4</x:v>
      </x:c>
      <x:c r="R17" s="70" t="s">
        <x:v>2</x:v>
      </x:c>
      <x:c r="S17" s="68" t="s">
        <x:v>38</x:v>
      </x:c>
      <x:c r="T17" s="68" t="s">
        <x:v>49</x:v>
      </x:c>
      <x:c r="U17" s="68" t="s">
        <x:v>44</x:v>
      </x:c>
      <x:c r="V17" s="68" t="s">
        <x:v>43</x:v>
      </x:c>
      <x:c r="W17" s="71" t="s">
        <x:v>4</x:v>
      </x:c>
      <x:c r="X17" s="70" t="s">
        <x:v>2</x:v>
      </x:c>
      <x:c r="Y17" s="68" t="s">
        <x:v>38</x:v>
      </x:c>
      <x:c r="Z17" s="68" t="s">
        <x:v>49</x:v>
      </x:c>
      <x:c r="AA17" s="68" t="s">
        <x:v>44</x:v>
      </x:c>
      <x:c r="AB17" s="68" t="s">
        <x:v>43</x:v>
      </x:c>
      <x:c r="AC17" s="72" t="s">
        <x:v>4</x:v>
      </x:c>
      <x:c r="AD17" s="73" t="s">
        <x:v>2</x:v>
      </x:c>
      <x:c r="AE17" s="74" t="s">
        <x:v>38</x:v>
      </x:c>
      <x:c r="AF17" s="74" t="s">
        <x:v>49</x:v>
      </x:c>
      <x:c r="AG17" s="74" t="s">
        <x:v>44</x:v>
      </x:c>
      <x:c r="AH17" s="74" t="s">
        <x:v>43</x:v>
      </x:c>
      <x:c r="AI17" s="72" t="s">
        <x:v>4</x:v>
      </x:c>
      <x:c r="AJ17" s="73" t="s">
        <x:v>2</x:v>
      </x:c>
      <x:c r="AK17" s="74" t="s">
        <x:v>38</x:v>
      </x:c>
      <x:c r="AL17" s="74" t="s">
        <x:v>49</x:v>
      </x:c>
      <x:c r="AM17" s="74" t="s">
        <x:v>44</x:v>
      </x:c>
      <x:c r="AN17" s="74" t="s">
        <x:v>43</x:v>
      </x:c>
      <x:c r="AO17" s="72" t="s">
        <x:v>4</x:v>
      </x:c>
      <x:c r="AP17" s="75" t="s">
        <x:v>2</x:v>
      </x:c>
      <x:c r="AQ17" s="74" t="s">
        <x:v>38</x:v>
      </x:c>
      <x:c r="AR17" s="74" t="s">
        <x:v>49</x:v>
      </x:c>
      <x:c r="AS17" s="74" t="s">
        <x:v>44</x:v>
      </x:c>
      <x:c r="AT17" s="76" t="s">
        <x:v>43</x:v>
      </x:c>
    </x:row>
    <x:row r="18" spans="2:46">
      <x:c r="B18" s="77">
        <x:v>168000</x:v>
      </x:c>
      <x:c r="C18" s="78" t="s">
        <x:v>39</x:v>
      </x:c>
      <x:c r="D18" s="79">
        <x:f t="shared" ref="D18:D28" si="1">E18/$F$1</x:f>
        <x:v>10.13317892298784</x:v>
      </x:c>
      <x:c r="E18" s="80">
        <x:f>ROUNDUP(IMDIV(B18,$H$1)*$F$1,-3)</x:f>
        <x:v>175000</x:v>
      </x:c>
      <x:c r="F18" s="81">
        <x:f t="shared" ref="F18:F28" si="2">+E18</x:f>
        <x:v>175000</x:v>
      </x:c>
      <x:c r="G18" s="82">
        <x:f t="shared" ref="G18:G28" si="3">+E18</x:f>
        <x:v>175000</x:v>
      </x:c>
      <x:c r="H18" s="83">
        <x:f t="shared" ref="H18:J28" si="4">+E18/2</x:f>
        <x:v>87500</x:v>
      </x:c>
      <x:c r="I18" s="84">
        <x:f t="shared" si="4"/>
        <x:v>87500</x:v>
      </x:c>
      <x:c r="J18" s="85">
        <x:f t="shared" si="4"/>
        <x:v>87500</x:v>
      </x:c>
      <x:c r="K18" s="78" t="s">
        <x:v>5</x:v>
      </x:c>
      <x:c r="L18" s="86">
        <x:v>20000</x:v>
      </x:c>
      <x:c r="M18" s="87">
        <x:f t="shared" ref="M18:M28" si="5">ROUNDDOWN($E18*$J$3,-2)</x:f>
        <x:v>3500</x:v>
      </x:c>
      <x:c r="N18" s="87">
        <x:f t="shared" ref="N18:N28" si="6">ROUNDDOWN($E18*$K$3,-2)</x:f>
        <x:v>5200</x:v>
      </x:c>
      <x:c r="O18" s="87">
        <x:f t="shared" ref="O18:O28" si="7">ROUNDDOWN($E18*$L$3,-2)</x:f>
        <x:v>7000</x:v>
      </x:c>
      <x:c r="P18" s="87">
        <x:f t="shared" ref="P18:P28" si="8">ROUNDDOWN($E18*$M$3,-2)</x:f>
        <x:v>8700</x:v>
      </x:c>
      <x:c r="Q18" s="88" t="s">
        <x:v>5</x:v>
      </x:c>
      <x:c r="R18" s="86">
        <x:v>20000</x:v>
      </x:c>
      <x:c r="S18" s="87">
        <x:f t="shared" ref="S18:S28" si="9">ROUNDDOWN($F18*$J$3,-2)</x:f>
        <x:v>3500</x:v>
      </x:c>
      <x:c r="T18" s="87">
        <x:f t="shared" ref="T18:T28" si="10">ROUNDDOWN($F18*$K$3,-2)</x:f>
        <x:v>5200</x:v>
      </x:c>
      <x:c r="U18" s="87">
        <x:f t="shared" ref="U18:U28" si="11">ROUNDDOWN($F18*$L$3,-2)</x:f>
        <x:v>7000</x:v>
      </x:c>
      <x:c r="V18" s="87">
        <x:f t="shared" ref="V18:V28" si="12">ROUNDDOWN($F18*$M$3,-2)</x:f>
        <x:v>8700</x:v>
      </x:c>
      <x:c r="W18" s="89" t="s">
        <x:v>5</x:v>
      </x:c>
      <x:c r="X18" s="86" t="s">
        <x:v>5</x:v>
      </x:c>
      <x:c r="Y18" s="87">
        <x:f t="shared" ref="Y18:Y28" si="13">ROUNDDOWN($G18*$J$3,-2)</x:f>
        <x:v>3500</x:v>
      </x:c>
      <x:c r="Z18" s="87">
        <x:f t="shared" ref="Z18:Z28" si="14">ROUNDDOWN($G18*$K$3,-2)</x:f>
        <x:v>5200</x:v>
      </x:c>
      <x:c r="AA18" s="87">
        <x:f t="shared" ref="AA18:AA28" si="15">ROUNDDOWN($G18*$L$3,-2)</x:f>
        <x:v>7000</x:v>
      </x:c>
      <x:c r="AB18" s="90">
        <x:f t="shared" ref="AB18:AB28" si="16">ROUNDDOWN($G18*$M$3,-2)</x:f>
        <x:v>8700</x:v>
      </x:c>
      <x:c r="AC18" s="89" t="s">
        <x:v>5</x:v>
      </x:c>
      <x:c r="AD18" s="86">
        <x:v>20000</x:v>
      </x:c>
      <x:c r="AE18" s="87">
        <x:f t="shared" ref="AE18:AE28" si="17">ROUNDDOWN($H18*$J$3,-2)</x:f>
        <x:v>1700</x:v>
      </x:c>
      <x:c r="AF18" s="87">
        <x:f t="shared" ref="AF18:AF28" si="18">ROUNDDOWN($H18*$K$3,-2)</x:f>
        <x:v>2600</x:v>
      </x:c>
      <x:c r="AG18" s="87">
        <x:f t="shared" ref="AG18:AG28" si="19">ROUNDDOWN($H18*$L$3,-2)</x:f>
        <x:v>3500</x:v>
      </x:c>
      <x:c r="AH18" s="87">
        <x:f t="shared" ref="AH18:AH28" si="20">ROUNDDOWN($H18*$M$3,-2)</x:f>
        <x:v>4300</x:v>
      </x:c>
      <x:c r="AI18" s="89" t="s">
        <x:v>5</x:v>
      </x:c>
      <x:c r="AJ18" s="86">
        <x:v>20000</x:v>
      </x:c>
      <x:c r="AK18" s="87">
        <x:f t="shared" ref="AK18:AK28" si="21">ROUNDDOWN($I18*$J$3,-2)</x:f>
        <x:v>1700</x:v>
      </x:c>
      <x:c r="AL18" s="87">
        <x:f t="shared" ref="AL18:AL28" si="22">ROUNDDOWN($I18*$K$3,-2)</x:f>
        <x:v>2600</x:v>
      </x:c>
      <x:c r="AM18" s="87">
        <x:f t="shared" ref="AM18:AM28" si="23">ROUNDDOWN($I18*$L$3,-2)</x:f>
        <x:v>3500</x:v>
      </x:c>
      <x:c r="AN18" s="90">
        <x:f t="shared" ref="AN18:AN28" si="24">ROUNDDOWN($I18*$M$3,-2)</x:f>
        <x:v>4300</x:v>
      </x:c>
      <x:c r="AO18" s="91" t="s">
        <x:v>5</x:v>
      </x:c>
      <x:c r="AP18" s="92" t="s">
        <x:v>5</x:v>
      </x:c>
      <x:c r="AQ18" s="87">
        <x:f t="shared" ref="AQ18:AQ28" si="25">ROUNDDOWN($J18*$J$3,-2)</x:f>
        <x:v>1700</x:v>
      </x:c>
      <x:c r="AR18" s="87">
        <x:f t="shared" ref="AR18:AR28" si="26">ROUNDDOWN($J18*$K$3,-2)</x:f>
        <x:v>2600</x:v>
      </x:c>
      <x:c r="AS18" s="87">
        <x:f t="shared" ref="AS18:AS28" si="27">ROUNDDOWN($J18*$L$3,-2)</x:f>
        <x:v>3500</x:v>
      </x:c>
      <x:c r="AT18" s="93">
        <x:f t="shared" ref="AT18:AT28" si="28">ROUNDDOWN($J18*$M$3,-2)</x:f>
        <x:v>4300</x:v>
      </x:c>
    </x:row>
    <x:row r="19" spans="2:46">
      <x:c r="B19" s="77">
        <x:v>335000</x:v>
      </x:c>
      <x:c r="C19" s="94" t="s">
        <x:v>65</x:v>
      </x:c>
      <x:c r="D19" s="95">
        <x:f t="shared" si="1"/>
        <x:v>20.20845396641575</x:v>
      </x:c>
      <x:c r="E19" s="80">
        <x:f t="shared" ref="E19:E28" si="29">ROUNDUP(IMDIV(B19,$H$1)*$F$1,-3)</x:f>
        <x:v>349000</x:v>
      </x:c>
      <x:c r="F19" s="96">
        <x:f t="shared" si="2"/>
        <x:v>349000</x:v>
      </x:c>
      <x:c r="G19" s="97">
        <x:f t="shared" si="3"/>
        <x:v>349000</x:v>
      </x:c>
      <x:c r="H19" s="98">
        <x:f t="shared" si="4"/>
        <x:v>174500</x:v>
      </x:c>
      <x:c r="I19" s="99">
        <x:f t="shared" si="4"/>
        <x:v>174500</x:v>
      </x:c>
      <x:c r="J19" s="100">
        <x:f t="shared" si="4"/>
        <x:v>174500</x:v>
      </x:c>
      <x:c r="K19" s="94" t="s">
        <x:v>5</x:v>
      </x:c>
      <x:c r="L19" s="101">
        <x:v>20000</x:v>
      </x:c>
      <x:c r="M19" s="102">
        <x:f t="shared" si="5"/>
        <x:v>6900</x:v>
      </x:c>
      <x:c r="N19" s="102">
        <x:f t="shared" si="6"/>
        <x:v>10400</x:v>
      </x:c>
      <x:c r="O19" s="102">
        <x:f t="shared" si="7"/>
        <x:v>13900</x:v>
      </x:c>
      <x:c r="P19" s="102">
        <x:f t="shared" si="8"/>
        <x:v>17400</x:v>
      </x:c>
      <x:c r="Q19" s="103" t="s">
        <x:v>5</x:v>
      </x:c>
      <x:c r="R19" s="101">
        <x:v>20000</x:v>
      </x:c>
      <x:c r="S19" s="102">
        <x:f t="shared" si="9"/>
        <x:v>6900</x:v>
      </x:c>
      <x:c r="T19" s="102">
        <x:f t="shared" si="10"/>
        <x:v>10400</x:v>
      </x:c>
      <x:c r="U19" s="102">
        <x:f t="shared" si="11"/>
        <x:v>13900</x:v>
      </x:c>
      <x:c r="V19" s="102">
        <x:f t="shared" si="12"/>
        <x:v>17400</x:v>
      </x:c>
      <x:c r="W19" s="104" t="s">
        <x:v>5</x:v>
      </x:c>
      <x:c r="X19" s="101" t="s">
        <x:v>5</x:v>
      </x:c>
      <x:c r="Y19" s="102">
        <x:f t="shared" si="13"/>
        <x:v>6900</x:v>
      </x:c>
      <x:c r="Z19" s="102">
        <x:f t="shared" si="14"/>
        <x:v>10400</x:v>
      </x:c>
      <x:c r="AA19" s="102">
        <x:f t="shared" si="15"/>
        <x:v>13900</x:v>
      </x:c>
      <x:c r="AB19" s="105">
        <x:f t="shared" si="16"/>
        <x:v>17400</x:v>
      </x:c>
      <x:c r="AC19" s="104" t="s">
        <x:v>5</x:v>
      </x:c>
      <x:c r="AD19" s="101">
        <x:v>20000</x:v>
      </x:c>
      <x:c r="AE19" s="102">
        <x:f t="shared" si="17"/>
        <x:v>3400</x:v>
      </x:c>
      <x:c r="AF19" s="102">
        <x:f t="shared" si="18"/>
        <x:v>5200</x:v>
      </x:c>
      <x:c r="AG19" s="102">
        <x:f t="shared" si="19"/>
        <x:v>6900</x:v>
      </x:c>
      <x:c r="AH19" s="102">
        <x:f t="shared" si="20"/>
        <x:v>8700</x:v>
      </x:c>
      <x:c r="AI19" s="104" t="s">
        <x:v>5</x:v>
      </x:c>
      <x:c r="AJ19" s="101">
        <x:v>20000</x:v>
      </x:c>
      <x:c r="AK19" s="102">
        <x:f t="shared" si="21"/>
        <x:v>3400</x:v>
      </x:c>
      <x:c r="AL19" s="102">
        <x:f t="shared" si="22"/>
        <x:v>5200</x:v>
      </x:c>
      <x:c r="AM19" s="102">
        <x:f t="shared" si="23"/>
        <x:v>6900</x:v>
      </x:c>
      <x:c r="AN19" s="105">
        <x:f t="shared" si="24"/>
        <x:v>8700</x:v>
      </x:c>
      <x:c r="AO19" s="106" t="s">
        <x:v>5</x:v>
      </x:c>
      <x:c r="AP19" s="107" t="s">
        <x:v>5</x:v>
      </x:c>
      <x:c r="AQ19" s="102">
        <x:f t="shared" si="25"/>
        <x:v>3400</x:v>
      </x:c>
      <x:c r="AR19" s="102">
        <x:f t="shared" si="26"/>
        <x:v>5200</x:v>
      </x:c>
      <x:c r="AS19" s="102">
        <x:f t="shared" si="27"/>
        <x:v>6900</x:v>
      </x:c>
      <x:c r="AT19" s="108">
        <x:f t="shared" si="28"/>
        <x:v>8700</x:v>
      </x:c>
    </x:row>
    <x:row r="20" spans="2:46">
      <x:c r="B20" s="77">
        <x:v>335000</x:v>
      </x:c>
      <x:c r="C20" s="94" t="s">
        <x:v>68</x:v>
      </x:c>
      <x:c r="D20" s="95">
        <x:f t="shared" si="1"/>
        <x:v>20.20845396641575</x:v>
      </x:c>
      <x:c r="E20" s="80">
        <x:f t="shared" si="29"/>
        <x:v>349000</x:v>
      </x:c>
      <x:c r="F20" s="96">
        <x:f t="shared" si="2"/>
        <x:v>349000</x:v>
      </x:c>
      <x:c r="G20" s="97">
        <x:f t="shared" si="3"/>
        <x:v>349000</x:v>
      </x:c>
      <x:c r="H20" s="98">
        <x:f t="shared" si="4"/>
        <x:v>174500</x:v>
      </x:c>
      <x:c r="I20" s="99">
        <x:f t="shared" si="4"/>
        <x:v>174500</x:v>
      </x:c>
      <x:c r="J20" s="100">
        <x:f t="shared" si="4"/>
        <x:v>174500</x:v>
      </x:c>
      <x:c r="K20" s="94" t="s">
        <x:v>5</x:v>
      </x:c>
      <x:c r="L20" s="101">
        <x:v>20000</x:v>
      </x:c>
      <x:c r="M20" s="102">
        <x:f t="shared" si="5"/>
        <x:v>6900</x:v>
      </x:c>
      <x:c r="N20" s="102">
        <x:f t="shared" si="6"/>
        <x:v>10400</x:v>
      </x:c>
      <x:c r="O20" s="102">
        <x:f t="shared" si="7"/>
        <x:v>13900</x:v>
      </x:c>
      <x:c r="P20" s="102">
        <x:f t="shared" si="8"/>
        <x:v>17400</x:v>
      </x:c>
      <x:c r="Q20" s="103" t="s">
        <x:v>5</x:v>
      </x:c>
      <x:c r="R20" s="101">
        <x:v>20000</x:v>
      </x:c>
      <x:c r="S20" s="102">
        <x:f t="shared" si="9"/>
        <x:v>6900</x:v>
      </x:c>
      <x:c r="T20" s="102">
        <x:f t="shared" si="10"/>
        <x:v>10400</x:v>
      </x:c>
      <x:c r="U20" s="102">
        <x:f t="shared" si="11"/>
        <x:v>13900</x:v>
      </x:c>
      <x:c r="V20" s="102">
        <x:f t="shared" si="12"/>
        <x:v>17400</x:v>
      </x:c>
      <x:c r="W20" s="104" t="s">
        <x:v>5</x:v>
      </x:c>
      <x:c r="X20" s="101" t="s">
        <x:v>5</x:v>
      </x:c>
      <x:c r="Y20" s="102">
        <x:f t="shared" si="13"/>
        <x:v>6900</x:v>
      </x:c>
      <x:c r="Z20" s="102">
        <x:f t="shared" si="14"/>
        <x:v>10400</x:v>
      </x:c>
      <x:c r="AA20" s="102">
        <x:f t="shared" si="15"/>
        <x:v>13900</x:v>
      </x:c>
      <x:c r="AB20" s="105">
        <x:f t="shared" si="16"/>
        <x:v>17400</x:v>
      </x:c>
      <x:c r="AC20" s="104" t="s">
        <x:v>5</x:v>
      </x:c>
      <x:c r="AD20" s="101">
        <x:v>20000</x:v>
      </x:c>
      <x:c r="AE20" s="102">
        <x:f t="shared" si="17"/>
        <x:v>3400</x:v>
      </x:c>
      <x:c r="AF20" s="102">
        <x:f t="shared" si="18"/>
        <x:v>5200</x:v>
      </x:c>
      <x:c r="AG20" s="102">
        <x:f t="shared" si="19"/>
        <x:v>6900</x:v>
      </x:c>
      <x:c r="AH20" s="102">
        <x:f t="shared" si="20"/>
        <x:v>8700</x:v>
      </x:c>
      <x:c r="AI20" s="104" t="s">
        <x:v>5</x:v>
      </x:c>
      <x:c r="AJ20" s="101">
        <x:v>20000</x:v>
      </x:c>
      <x:c r="AK20" s="102">
        <x:f t="shared" si="21"/>
        <x:v>3400</x:v>
      </x:c>
      <x:c r="AL20" s="102">
        <x:f t="shared" si="22"/>
        <x:v>5200</x:v>
      </x:c>
      <x:c r="AM20" s="102">
        <x:f t="shared" si="23"/>
        <x:v>6900</x:v>
      </x:c>
      <x:c r="AN20" s="105">
        <x:f t="shared" si="24"/>
        <x:v>8700</x:v>
      </x:c>
      <x:c r="AO20" s="106" t="s">
        <x:v>5</x:v>
      </x:c>
      <x:c r="AP20" s="107" t="s">
        <x:v>5</x:v>
      </x:c>
      <x:c r="AQ20" s="102">
        <x:f t="shared" si="25"/>
        <x:v>3400</x:v>
      </x:c>
      <x:c r="AR20" s="102">
        <x:f t="shared" si="26"/>
        <x:v>5200</x:v>
      </x:c>
      <x:c r="AS20" s="102">
        <x:f t="shared" si="27"/>
        <x:v>6900</x:v>
      </x:c>
      <x:c r="AT20" s="108">
        <x:f t="shared" si="28"/>
        <x:v>8700</x:v>
      </x:c>
    </x:row>
    <x:row r="21" spans="2:46">
      <x:c r="B21" s="109">
        <x:v>503000</x:v>
      </x:c>
      <x:c r="C21" s="94" t="s">
        <x:v>28</x:v>
      </x:c>
      <x:c r="D21" s="95">
        <x:f t="shared" si="1"/>
        <x:v>30.283729009843661</x:v>
      </x:c>
      <x:c r="E21" s="80">
        <x:f t="shared" si="29"/>
        <x:v>523000</x:v>
      </x:c>
      <x:c r="F21" s="96">
        <x:f t="shared" si="2"/>
        <x:v>523000</x:v>
      </x:c>
      <x:c r="G21" s="97">
        <x:f t="shared" si="3"/>
        <x:v>523000</x:v>
      </x:c>
      <x:c r="H21" s="98">
        <x:f t="shared" si="4"/>
        <x:v>261500</x:v>
      </x:c>
      <x:c r="I21" s="99">
        <x:f t="shared" si="4"/>
        <x:v>261500</x:v>
      </x:c>
      <x:c r="J21" s="100">
        <x:f t="shared" si="4"/>
        <x:v>261500</x:v>
      </x:c>
      <x:c r="K21" s="94" t="s">
        <x:v>5</x:v>
      </x:c>
      <x:c r="L21" s="101">
        <x:v>20000</x:v>
      </x:c>
      <x:c r="M21" s="102">
        <x:f t="shared" si="5"/>
        <x:v>10400</x:v>
      </x:c>
      <x:c r="N21" s="102">
        <x:f t="shared" si="6"/>
        <x:v>15600</x:v>
      </x:c>
      <x:c r="O21" s="102">
        <x:f t="shared" si="7"/>
        <x:v>20900</x:v>
      </x:c>
      <x:c r="P21" s="102">
        <x:f t="shared" si="8"/>
        <x:v>26100</x:v>
      </x:c>
      <x:c r="Q21" s="103" t="s">
        <x:v>5</x:v>
      </x:c>
      <x:c r="R21" s="101">
        <x:v>20000</x:v>
      </x:c>
      <x:c r="S21" s="102">
        <x:f t="shared" si="9"/>
        <x:v>10400</x:v>
      </x:c>
      <x:c r="T21" s="102">
        <x:f t="shared" si="10"/>
        <x:v>15600</x:v>
      </x:c>
      <x:c r="U21" s="102">
        <x:f t="shared" si="11"/>
        <x:v>20900</x:v>
      </x:c>
      <x:c r="V21" s="102">
        <x:f t="shared" si="12"/>
        <x:v>26100</x:v>
      </x:c>
      <x:c r="W21" s="104" t="s">
        <x:v>5</x:v>
      </x:c>
      <x:c r="X21" s="101" t="s">
        <x:v>5</x:v>
      </x:c>
      <x:c r="Y21" s="102">
        <x:f t="shared" si="13"/>
        <x:v>10400</x:v>
      </x:c>
      <x:c r="Z21" s="102">
        <x:f t="shared" si="14"/>
        <x:v>15600</x:v>
      </x:c>
      <x:c r="AA21" s="102">
        <x:f t="shared" si="15"/>
        <x:v>20900</x:v>
      </x:c>
      <x:c r="AB21" s="105">
        <x:f t="shared" si="16"/>
        <x:v>26100</x:v>
      </x:c>
      <x:c r="AC21" s="104" t="s">
        <x:v>5</x:v>
      </x:c>
      <x:c r="AD21" s="101">
        <x:v>20000</x:v>
      </x:c>
      <x:c r="AE21" s="102">
        <x:f t="shared" si="17"/>
        <x:v>5200</x:v>
      </x:c>
      <x:c r="AF21" s="102">
        <x:f t="shared" si="18"/>
        <x:v>7800</x:v>
      </x:c>
      <x:c r="AG21" s="102">
        <x:f t="shared" si="19"/>
        <x:v>10400</x:v>
      </x:c>
      <x:c r="AH21" s="102">
        <x:f t="shared" si="20"/>
        <x:v>13000</x:v>
      </x:c>
      <x:c r="AI21" s="104" t="s">
        <x:v>5</x:v>
      </x:c>
      <x:c r="AJ21" s="101">
        <x:v>20000</x:v>
      </x:c>
      <x:c r="AK21" s="102">
        <x:f t="shared" si="21"/>
        <x:v>5200</x:v>
      </x:c>
      <x:c r="AL21" s="102">
        <x:f t="shared" si="22"/>
        <x:v>7800</x:v>
      </x:c>
      <x:c r="AM21" s="102">
        <x:f t="shared" si="23"/>
        <x:v>10400</x:v>
      </x:c>
      <x:c r="AN21" s="105">
        <x:f t="shared" si="24"/>
        <x:v>13000</x:v>
      </x:c>
      <x:c r="AO21" s="106" t="s">
        <x:v>5</x:v>
      </x:c>
      <x:c r="AP21" s="107" t="s">
        <x:v>5</x:v>
      </x:c>
      <x:c r="AQ21" s="102">
        <x:f t="shared" si="25"/>
        <x:v>5200</x:v>
      </x:c>
      <x:c r="AR21" s="102">
        <x:f t="shared" si="26"/>
        <x:v>7800</x:v>
      </x:c>
      <x:c r="AS21" s="102">
        <x:f t="shared" si="27"/>
        <x:v>10400</x:v>
      </x:c>
      <x:c r="AT21" s="108">
        <x:f t="shared" si="28"/>
        <x:v>13000</x:v>
      </x:c>
    </x:row>
    <x:row r="22" spans="2:46">
      <x:c r="B22" s="110">
        <x:v>503000</x:v>
      </x:c>
      <x:c r="C22" s="94" t="s">
        <x:v>30</x:v>
      </x:c>
      <x:c r="D22" s="95">
        <x:f t="shared" si="1"/>
        <x:v>30.283729009843661</x:v>
      </x:c>
      <x:c r="E22" s="80">
        <x:f t="shared" si="29"/>
        <x:v>523000</x:v>
      </x:c>
      <x:c r="F22" s="96">
        <x:f t="shared" si="2"/>
        <x:v>523000</x:v>
      </x:c>
      <x:c r="G22" s="97">
        <x:f t="shared" si="3"/>
        <x:v>523000</x:v>
      </x:c>
      <x:c r="H22" s="98">
        <x:f t="shared" si="4"/>
        <x:v>261500</x:v>
      </x:c>
      <x:c r="I22" s="99">
        <x:f t="shared" si="4"/>
        <x:v>261500</x:v>
      </x:c>
      <x:c r="J22" s="100">
        <x:f t="shared" si="4"/>
        <x:v>261500</x:v>
      </x:c>
      <x:c r="K22" s="94" t="s">
        <x:v>5</x:v>
      </x:c>
      <x:c r="L22" s="101">
        <x:v>20000</x:v>
      </x:c>
      <x:c r="M22" s="102">
        <x:f t="shared" si="5"/>
        <x:v>10400</x:v>
      </x:c>
      <x:c r="N22" s="102">
        <x:f t="shared" si="6"/>
        <x:v>15600</x:v>
      </x:c>
      <x:c r="O22" s="102">
        <x:f t="shared" si="7"/>
        <x:v>20900</x:v>
      </x:c>
      <x:c r="P22" s="102">
        <x:f t="shared" si="8"/>
        <x:v>26100</x:v>
      </x:c>
      <x:c r="Q22" s="103" t="s">
        <x:v>5</x:v>
      </x:c>
      <x:c r="R22" s="101">
        <x:v>20000</x:v>
      </x:c>
      <x:c r="S22" s="102">
        <x:f t="shared" si="9"/>
        <x:v>10400</x:v>
      </x:c>
      <x:c r="T22" s="102">
        <x:f t="shared" si="10"/>
        <x:v>15600</x:v>
      </x:c>
      <x:c r="U22" s="102">
        <x:f t="shared" si="11"/>
        <x:v>20900</x:v>
      </x:c>
      <x:c r="V22" s="102">
        <x:f t="shared" si="12"/>
        <x:v>26100</x:v>
      </x:c>
      <x:c r="W22" s="104" t="s">
        <x:v>5</x:v>
      </x:c>
      <x:c r="X22" s="101" t="s">
        <x:v>5</x:v>
      </x:c>
      <x:c r="Y22" s="102">
        <x:f t="shared" si="13"/>
        <x:v>10400</x:v>
      </x:c>
      <x:c r="Z22" s="102">
        <x:f t="shared" si="14"/>
        <x:v>15600</x:v>
      </x:c>
      <x:c r="AA22" s="102">
        <x:f t="shared" si="15"/>
        <x:v>20900</x:v>
      </x:c>
      <x:c r="AB22" s="105">
        <x:f t="shared" si="16"/>
        <x:v>26100</x:v>
      </x:c>
      <x:c r="AC22" s="104" t="s">
        <x:v>5</x:v>
      </x:c>
      <x:c r="AD22" s="101">
        <x:v>20000</x:v>
      </x:c>
      <x:c r="AE22" s="102">
        <x:f t="shared" si="17"/>
        <x:v>5200</x:v>
      </x:c>
      <x:c r="AF22" s="102">
        <x:f t="shared" si="18"/>
        <x:v>7800</x:v>
      </x:c>
      <x:c r="AG22" s="102">
        <x:f t="shared" si="19"/>
        <x:v>10400</x:v>
      </x:c>
      <x:c r="AH22" s="102">
        <x:f t="shared" si="20"/>
        <x:v>13000</x:v>
      </x:c>
      <x:c r="AI22" s="104" t="s">
        <x:v>5</x:v>
      </x:c>
      <x:c r="AJ22" s="101">
        <x:v>20000</x:v>
      </x:c>
      <x:c r="AK22" s="102">
        <x:f t="shared" si="21"/>
        <x:v>5200</x:v>
      </x:c>
      <x:c r="AL22" s="102">
        <x:f t="shared" si="22"/>
        <x:v>7800</x:v>
      </x:c>
      <x:c r="AM22" s="102">
        <x:f t="shared" si="23"/>
        <x:v>10400</x:v>
      </x:c>
      <x:c r="AN22" s="105">
        <x:f t="shared" si="24"/>
        <x:v>13000</x:v>
      </x:c>
      <x:c r="AO22" s="106" t="s">
        <x:v>5</x:v>
      </x:c>
      <x:c r="AP22" s="107" t="s">
        <x:v>5</x:v>
      </x:c>
      <x:c r="AQ22" s="102">
        <x:f t="shared" si="25"/>
        <x:v>5200</x:v>
      </x:c>
      <x:c r="AR22" s="102">
        <x:f t="shared" si="26"/>
        <x:v>7800</x:v>
      </x:c>
      <x:c r="AS22" s="102">
        <x:f t="shared" si="27"/>
        <x:v>10400</x:v>
      </x:c>
      <x:c r="AT22" s="108">
        <x:f t="shared" si="28"/>
        <x:v>13000</x:v>
      </x:c>
    </x:row>
    <x:row r="23" spans="2:46">
      <x:c r="B23" s="109">
        <x:v>503000</x:v>
      </x:c>
      <x:c r="C23" s="94" t="s">
        <x:v>29</x:v>
      </x:c>
      <x:c r="D23" s="95">
        <x:f t="shared" si="1"/>
        <x:v>30.283729009843661</x:v>
      </x:c>
      <x:c r="E23" s="80">
        <x:f t="shared" si="29"/>
        <x:v>523000</x:v>
      </x:c>
      <x:c r="F23" s="96">
        <x:f t="shared" si="2"/>
        <x:v>523000</x:v>
      </x:c>
      <x:c r="G23" s="97">
        <x:f t="shared" si="3"/>
        <x:v>523000</x:v>
      </x:c>
      <x:c r="H23" s="98">
        <x:f t="shared" si="4"/>
        <x:v>261500</x:v>
      </x:c>
      <x:c r="I23" s="99">
        <x:f t="shared" si="4"/>
        <x:v>261500</x:v>
      </x:c>
      <x:c r="J23" s="100">
        <x:f t="shared" si="4"/>
        <x:v>261500</x:v>
      </x:c>
      <x:c r="K23" s="94" t="s">
        <x:v>5</x:v>
      </x:c>
      <x:c r="L23" s="101">
        <x:v>20000</x:v>
      </x:c>
      <x:c r="M23" s="102">
        <x:f t="shared" si="5"/>
        <x:v>10400</x:v>
      </x:c>
      <x:c r="N23" s="102">
        <x:f t="shared" si="6"/>
        <x:v>15600</x:v>
      </x:c>
      <x:c r="O23" s="102">
        <x:f t="shared" si="7"/>
        <x:v>20900</x:v>
      </x:c>
      <x:c r="P23" s="102">
        <x:f t="shared" si="8"/>
        <x:v>26100</x:v>
      </x:c>
      <x:c r="Q23" s="103" t="s">
        <x:v>5</x:v>
      </x:c>
      <x:c r="R23" s="101">
        <x:v>20000</x:v>
      </x:c>
      <x:c r="S23" s="102">
        <x:f t="shared" si="9"/>
        <x:v>10400</x:v>
      </x:c>
      <x:c r="T23" s="102">
        <x:f t="shared" si="10"/>
        <x:v>15600</x:v>
      </x:c>
      <x:c r="U23" s="102">
        <x:f t="shared" si="11"/>
        <x:v>20900</x:v>
      </x:c>
      <x:c r="V23" s="102">
        <x:f t="shared" si="12"/>
        <x:v>26100</x:v>
      </x:c>
      <x:c r="W23" s="104" t="s">
        <x:v>5</x:v>
      </x:c>
      <x:c r="X23" s="101" t="s">
        <x:v>5</x:v>
      </x:c>
      <x:c r="Y23" s="102">
        <x:f t="shared" si="13"/>
        <x:v>10400</x:v>
      </x:c>
      <x:c r="Z23" s="102">
        <x:f t="shared" si="14"/>
        <x:v>15600</x:v>
      </x:c>
      <x:c r="AA23" s="102">
        <x:f t="shared" si="15"/>
        <x:v>20900</x:v>
      </x:c>
      <x:c r="AB23" s="105">
        <x:f t="shared" si="16"/>
        <x:v>26100</x:v>
      </x:c>
      <x:c r="AC23" s="104" t="s">
        <x:v>5</x:v>
      </x:c>
      <x:c r="AD23" s="101">
        <x:v>20000</x:v>
      </x:c>
      <x:c r="AE23" s="102">
        <x:f t="shared" si="17"/>
        <x:v>5200</x:v>
      </x:c>
      <x:c r="AF23" s="102">
        <x:f t="shared" si="18"/>
        <x:v>7800</x:v>
      </x:c>
      <x:c r="AG23" s="102">
        <x:f t="shared" si="19"/>
        <x:v>10400</x:v>
      </x:c>
      <x:c r="AH23" s="102">
        <x:f t="shared" si="20"/>
        <x:v>13000</x:v>
      </x:c>
      <x:c r="AI23" s="104" t="s">
        <x:v>5</x:v>
      </x:c>
      <x:c r="AJ23" s="101">
        <x:v>20000</x:v>
      </x:c>
      <x:c r="AK23" s="102">
        <x:f t="shared" si="21"/>
        <x:v>5200</x:v>
      </x:c>
      <x:c r="AL23" s="102">
        <x:f t="shared" si="22"/>
        <x:v>7800</x:v>
      </x:c>
      <x:c r="AM23" s="102">
        <x:f t="shared" si="23"/>
        <x:v>10400</x:v>
      </x:c>
      <x:c r="AN23" s="105">
        <x:f t="shared" si="24"/>
        <x:v>13000</x:v>
      </x:c>
      <x:c r="AO23" s="106" t="s">
        <x:v>5</x:v>
      </x:c>
      <x:c r="AP23" s="107" t="s">
        <x:v>5</x:v>
      </x:c>
      <x:c r="AQ23" s="102">
        <x:f t="shared" si="25"/>
        <x:v>5200</x:v>
      </x:c>
      <x:c r="AR23" s="102">
        <x:f t="shared" si="26"/>
        <x:v>7800</x:v>
      </x:c>
      <x:c r="AS23" s="102">
        <x:f t="shared" si="27"/>
        <x:v>10400</x:v>
      </x:c>
      <x:c r="AT23" s="108">
        <x:f t="shared" si="28"/>
        <x:v>13000</x:v>
      </x:c>
    </x:row>
    <x:row r="24" spans="2:46">
      <x:c r="B24" s="77">
        <x:v>503000</x:v>
      </x:c>
      <x:c r="C24" s="94" t="s">
        <x:v>62</x:v>
      </x:c>
      <x:c r="D24" s="95">
        <x:f t="shared" si="1"/>
        <x:v>30.283729009843661</x:v>
      </x:c>
      <x:c r="E24" s="80">
        <x:f t="shared" si="29"/>
        <x:v>523000</x:v>
      </x:c>
      <x:c r="F24" s="96">
        <x:f t="shared" si="2"/>
        <x:v>523000</x:v>
      </x:c>
      <x:c r="G24" s="97">
        <x:f t="shared" si="3"/>
        <x:v>523000</x:v>
      </x:c>
      <x:c r="H24" s="98">
        <x:f t="shared" si="4"/>
        <x:v>261500</x:v>
      </x:c>
      <x:c r="I24" s="99">
        <x:f t="shared" si="4"/>
        <x:v>261500</x:v>
      </x:c>
      <x:c r="J24" s="100">
        <x:f t="shared" si="4"/>
        <x:v>261500</x:v>
      </x:c>
      <x:c r="K24" s="94" t="s">
        <x:v>5</x:v>
      </x:c>
      <x:c r="L24" s="101">
        <x:v>20000</x:v>
      </x:c>
      <x:c r="M24" s="102">
        <x:f t="shared" si="5"/>
        <x:v>10400</x:v>
      </x:c>
      <x:c r="N24" s="102">
        <x:f t="shared" si="6"/>
        <x:v>15600</x:v>
      </x:c>
      <x:c r="O24" s="102">
        <x:f t="shared" si="7"/>
        <x:v>20900</x:v>
      </x:c>
      <x:c r="P24" s="102">
        <x:f t="shared" si="8"/>
        <x:v>26100</x:v>
      </x:c>
      <x:c r="Q24" s="103" t="s">
        <x:v>5</x:v>
      </x:c>
      <x:c r="R24" s="101">
        <x:v>20000</x:v>
      </x:c>
      <x:c r="S24" s="102">
        <x:f t="shared" si="9"/>
        <x:v>10400</x:v>
      </x:c>
      <x:c r="T24" s="102">
        <x:f t="shared" si="10"/>
        <x:v>15600</x:v>
      </x:c>
      <x:c r="U24" s="102">
        <x:f t="shared" si="11"/>
        <x:v>20900</x:v>
      </x:c>
      <x:c r="V24" s="102">
        <x:f t="shared" si="12"/>
        <x:v>26100</x:v>
      </x:c>
      <x:c r="W24" s="104" t="s">
        <x:v>5</x:v>
      </x:c>
      <x:c r="X24" s="101" t="s">
        <x:v>5</x:v>
      </x:c>
      <x:c r="Y24" s="102">
        <x:f t="shared" si="13"/>
        <x:v>10400</x:v>
      </x:c>
      <x:c r="Z24" s="102">
        <x:f t="shared" si="14"/>
        <x:v>15600</x:v>
      </x:c>
      <x:c r="AA24" s="102">
        <x:f t="shared" si="15"/>
        <x:v>20900</x:v>
      </x:c>
      <x:c r="AB24" s="105">
        <x:f t="shared" si="16"/>
        <x:v>26100</x:v>
      </x:c>
      <x:c r="AC24" s="104" t="s">
        <x:v>5</x:v>
      </x:c>
      <x:c r="AD24" s="101">
        <x:v>20000</x:v>
      </x:c>
      <x:c r="AE24" s="102">
        <x:f t="shared" si="17"/>
        <x:v>5200</x:v>
      </x:c>
      <x:c r="AF24" s="102">
        <x:f t="shared" si="18"/>
        <x:v>7800</x:v>
      </x:c>
      <x:c r="AG24" s="102">
        <x:f t="shared" si="19"/>
        <x:v>10400</x:v>
      </x:c>
      <x:c r="AH24" s="102">
        <x:f t="shared" si="20"/>
        <x:v>13000</x:v>
      </x:c>
      <x:c r="AI24" s="104" t="s">
        <x:v>5</x:v>
      </x:c>
      <x:c r="AJ24" s="101">
        <x:v>20000</x:v>
      </x:c>
      <x:c r="AK24" s="102">
        <x:f t="shared" si="21"/>
        <x:v>5200</x:v>
      </x:c>
      <x:c r="AL24" s="102">
        <x:f t="shared" si="22"/>
        <x:v>7800</x:v>
      </x:c>
      <x:c r="AM24" s="102">
        <x:f t="shared" si="23"/>
        <x:v>10400</x:v>
      </x:c>
      <x:c r="AN24" s="105">
        <x:f t="shared" si="24"/>
        <x:v>13000</x:v>
      </x:c>
      <x:c r="AO24" s="106" t="s">
        <x:v>5</x:v>
      </x:c>
      <x:c r="AP24" s="107" t="s">
        <x:v>5</x:v>
      </x:c>
      <x:c r="AQ24" s="102">
        <x:f t="shared" si="25"/>
        <x:v>5200</x:v>
      </x:c>
      <x:c r="AR24" s="102">
        <x:f t="shared" si="26"/>
        <x:v>7800</x:v>
      </x:c>
      <x:c r="AS24" s="102">
        <x:f t="shared" si="27"/>
        <x:v>10400</x:v>
      </x:c>
      <x:c r="AT24" s="108">
        <x:f t="shared" si="28"/>
        <x:v>13000</x:v>
      </x:c>
    </x:row>
    <x:row r="25" spans="2:46">
      <x:c r="B25" s="77">
        <x:v>669000</x:v>
      </x:c>
      <x:c r="C25" s="94" t="s">
        <x:v>31</x:v>
      </x:c>
      <x:c r="D25" s="95">
        <x:f t="shared" si="1"/>
        <x:v>40.301100173711639</x:v>
      </x:c>
      <x:c r="E25" s="80">
        <x:f t="shared" si="29"/>
        <x:v>696000</x:v>
      </x:c>
      <x:c r="F25" s="96">
        <x:f t="shared" si="2"/>
        <x:v>696000</x:v>
      </x:c>
      <x:c r="G25" s="97">
        <x:f t="shared" si="3"/>
        <x:v>696000</x:v>
      </x:c>
      <x:c r="H25" s="98">
        <x:f t="shared" si="4"/>
        <x:v>348000</x:v>
      </x:c>
      <x:c r="I25" s="99">
        <x:f t="shared" si="4"/>
        <x:v>348000</x:v>
      </x:c>
      <x:c r="J25" s="100">
        <x:f t="shared" si="4"/>
        <x:v>348000</x:v>
      </x:c>
      <x:c r="K25" s="94" t="s">
        <x:v>5</x:v>
      </x:c>
      <x:c r="L25" s="101">
        <x:v>20000</x:v>
      </x:c>
      <x:c r="M25" s="102">
        <x:f t="shared" si="5"/>
        <x:v>13900</x:v>
      </x:c>
      <x:c r="N25" s="102">
        <x:f t="shared" si="6"/>
        <x:v>20800</x:v>
      </x:c>
      <x:c r="O25" s="102">
        <x:f t="shared" si="7"/>
        <x:v>27800</x:v>
      </x:c>
      <x:c r="P25" s="102">
        <x:f t="shared" si="8"/>
        <x:v>34800</x:v>
      </x:c>
      <x:c r="Q25" s="103" t="s">
        <x:v>5</x:v>
      </x:c>
      <x:c r="R25" s="101">
        <x:v>20000</x:v>
      </x:c>
      <x:c r="S25" s="102">
        <x:f t="shared" si="9"/>
        <x:v>13900</x:v>
      </x:c>
      <x:c r="T25" s="102">
        <x:f t="shared" si="10"/>
        <x:v>20800</x:v>
      </x:c>
      <x:c r="U25" s="102">
        <x:f t="shared" si="11"/>
        <x:v>27800</x:v>
      </x:c>
      <x:c r="V25" s="102">
        <x:f t="shared" si="12"/>
        <x:v>34800</x:v>
      </x:c>
      <x:c r="W25" s="104" t="s">
        <x:v>5</x:v>
      </x:c>
      <x:c r="X25" s="101" t="s">
        <x:v>5</x:v>
      </x:c>
      <x:c r="Y25" s="102">
        <x:f t="shared" si="13"/>
        <x:v>13900</x:v>
      </x:c>
      <x:c r="Z25" s="102">
        <x:f t="shared" si="14"/>
        <x:v>20800</x:v>
      </x:c>
      <x:c r="AA25" s="102">
        <x:f t="shared" si="15"/>
        <x:v>27800</x:v>
      </x:c>
      <x:c r="AB25" s="105">
        <x:f t="shared" si="16"/>
        <x:v>34800</x:v>
      </x:c>
      <x:c r="AC25" s="104" t="s">
        <x:v>5</x:v>
      </x:c>
      <x:c r="AD25" s="101">
        <x:v>20000</x:v>
      </x:c>
      <x:c r="AE25" s="102">
        <x:f t="shared" si="17"/>
        <x:v>6900</x:v>
      </x:c>
      <x:c r="AF25" s="102">
        <x:f t="shared" si="18"/>
        <x:v>10400</x:v>
      </x:c>
      <x:c r="AG25" s="102">
        <x:f t="shared" si="19"/>
        <x:v>13900</x:v>
      </x:c>
      <x:c r="AH25" s="102">
        <x:f t="shared" si="20"/>
        <x:v>17400</x:v>
      </x:c>
      <x:c r="AI25" s="104" t="s">
        <x:v>5</x:v>
      </x:c>
      <x:c r="AJ25" s="101">
        <x:v>20000</x:v>
      </x:c>
      <x:c r="AK25" s="102">
        <x:f t="shared" si="21"/>
        <x:v>6900</x:v>
      </x:c>
      <x:c r="AL25" s="102">
        <x:f t="shared" si="22"/>
        <x:v>10400</x:v>
      </x:c>
      <x:c r="AM25" s="102">
        <x:f t="shared" si="23"/>
        <x:v>13900</x:v>
      </x:c>
      <x:c r="AN25" s="105">
        <x:f t="shared" si="24"/>
        <x:v>17400</x:v>
      </x:c>
      <x:c r="AO25" s="106" t="s">
        <x:v>5</x:v>
      </x:c>
      <x:c r="AP25" s="107" t="s">
        <x:v>5</x:v>
      </x:c>
      <x:c r="AQ25" s="102">
        <x:f t="shared" si="25"/>
        <x:v>6900</x:v>
      </x:c>
      <x:c r="AR25" s="102">
        <x:f t="shared" si="26"/>
        <x:v>10400</x:v>
      </x:c>
      <x:c r="AS25" s="102">
        <x:f t="shared" si="27"/>
        <x:v>13900</x:v>
      </x:c>
      <x:c r="AT25" s="108">
        <x:f t="shared" si="28"/>
        <x:v>17400</x:v>
      </x:c>
    </x:row>
    <x:row r="26" spans="2:46">
      <x:c r="B26" s="77">
        <x:v>669000</x:v>
      </x:c>
      <x:c r="C26" s="94" t="s">
        <x:v>23</x:v>
      </x:c>
      <x:c r="D26" s="95">
        <x:f t="shared" si="1"/>
        <x:v>40.301100173711639</x:v>
      </x:c>
      <x:c r="E26" s="80">
        <x:f t="shared" si="29"/>
        <x:v>696000</x:v>
      </x:c>
      <x:c r="F26" s="96">
        <x:f t="shared" si="2"/>
        <x:v>696000</x:v>
      </x:c>
      <x:c r="G26" s="97">
        <x:f t="shared" si="3"/>
        <x:v>696000</x:v>
      </x:c>
      <x:c r="H26" s="98">
        <x:f t="shared" si="4"/>
        <x:v>348000</x:v>
      </x:c>
      <x:c r="I26" s="99">
        <x:f t="shared" si="4"/>
        <x:v>348000</x:v>
      </x:c>
      <x:c r="J26" s="100">
        <x:f t="shared" si="4"/>
        <x:v>348000</x:v>
      </x:c>
      <x:c r="K26" s="94" t="s">
        <x:v>5</x:v>
      </x:c>
      <x:c r="L26" s="101">
        <x:v>20000</x:v>
      </x:c>
      <x:c r="M26" s="102">
        <x:f t="shared" si="5"/>
        <x:v>13900</x:v>
      </x:c>
      <x:c r="N26" s="102">
        <x:f t="shared" si="6"/>
        <x:v>20800</x:v>
      </x:c>
      <x:c r="O26" s="102">
        <x:f t="shared" si="7"/>
        <x:v>27800</x:v>
      </x:c>
      <x:c r="P26" s="102">
        <x:f t="shared" si="8"/>
        <x:v>34800</x:v>
      </x:c>
      <x:c r="Q26" s="103" t="s">
        <x:v>5</x:v>
      </x:c>
      <x:c r="R26" s="101">
        <x:v>20000</x:v>
      </x:c>
      <x:c r="S26" s="102">
        <x:f t="shared" si="9"/>
        <x:v>13900</x:v>
      </x:c>
      <x:c r="T26" s="102">
        <x:f t="shared" si="10"/>
        <x:v>20800</x:v>
      </x:c>
      <x:c r="U26" s="102">
        <x:f t="shared" si="11"/>
        <x:v>27800</x:v>
      </x:c>
      <x:c r="V26" s="102">
        <x:f t="shared" si="12"/>
        <x:v>34800</x:v>
      </x:c>
      <x:c r="W26" s="104" t="s">
        <x:v>5</x:v>
      </x:c>
      <x:c r="X26" s="101" t="s">
        <x:v>5</x:v>
      </x:c>
      <x:c r="Y26" s="102">
        <x:f t="shared" si="13"/>
        <x:v>13900</x:v>
      </x:c>
      <x:c r="Z26" s="102">
        <x:f t="shared" si="14"/>
        <x:v>20800</x:v>
      </x:c>
      <x:c r="AA26" s="102">
        <x:f t="shared" si="15"/>
        <x:v>27800</x:v>
      </x:c>
      <x:c r="AB26" s="105">
        <x:f t="shared" si="16"/>
        <x:v>34800</x:v>
      </x:c>
      <x:c r="AC26" s="104" t="s">
        <x:v>5</x:v>
      </x:c>
      <x:c r="AD26" s="101">
        <x:v>20000</x:v>
      </x:c>
      <x:c r="AE26" s="102">
        <x:f t="shared" si="17"/>
        <x:v>6900</x:v>
      </x:c>
      <x:c r="AF26" s="102">
        <x:f t="shared" si="18"/>
        <x:v>10400</x:v>
      </x:c>
      <x:c r="AG26" s="102">
        <x:f t="shared" si="19"/>
        <x:v>13900</x:v>
      </x:c>
      <x:c r="AH26" s="102">
        <x:f t="shared" si="20"/>
        <x:v>17400</x:v>
      </x:c>
      <x:c r="AI26" s="104" t="s">
        <x:v>5</x:v>
      </x:c>
      <x:c r="AJ26" s="101">
        <x:v>20000</x:v>
      </x:c>
      <x:c r="AK26" s="102">
        <x:f t="shared" si="21"/>
        <x:v>6900</x:v>
      </x:c>
      <x:c r="AL26" s="102">
        <x:f t="shared" si="22"/>
        <x:v>10400</x:v>
      </x:c>
      <x:c r="AM26" s="102">
        <x:f t="shared" si="23"/>
        <x:v>13900</x:v>
      </x:c>
      <x:c r="AN26" s="105">
        <x:f t="shared" si="24"/>
        <x:v>17400</x:v>
      </x:c>
      <x:c r="AO26" s="106" t="s">
        <x:v>5</x:v>
      </x:c>
      <x:c r="AP26" s="107" t="s">
        <x:v>5</x:v>
      </x:c>
      <x:c r="AQ26" s="102">
        <x:f t="shared" si="25"/>
        <x:v>6900</x:v>
      </x:c>
      <x:c r="AR26" s="102">
        <x:f t="shared" si="26"/>
        <x:v>10400</x:v>
      </x:c>
      <x:c r="AS26" s="102">
        <x:f t="shared" si="27"/>
        <x:v>13900</x:v>
      </x:c>
      <x:c r="AT26" s="108">
        <x:f t="shared" si="28"/>
        <x:v>17400</x:v>
      </x:c>
    </x:row>
    <x:row r="27" spans="2:46">
      <x:c r="B27" s="77">
        <x:v>669000</x:v>
      </x:c>
      <x:c r="C27" s="94" t="s">
        <x:v>32</x:v>
      </x:c>
      <x:c r="D27" s="95">
        <x:f t="shared" si="1"/>
        <x:v>40.301100173711639</x:v>
      </x:c>
      <x:c r="E27" s="80">
        <x:f t="shared" si="29"/>
        <x:v>696000</x:v>
      </x:c>
      <x:c r="F27" s="96">
        <x:f t="shared" si="2"/>
        <x:v>696000</x:v>
      </x:c>
      <x:c r="G27" s="97">
        <x:f t="shared" si="3"/>
        <x:v>696000</x:v>
      </x:c>
      <x:c r="H27" s="98">
        <x:f t="shared" si="4"/>
        <x:v>348000</x:v>
      </x:c>
      <x:c r="I27" s="99">
        <x:f t="shared" si="4"/>
        <x:v>348000</x:v>
      </x:c>
      <x:c r="J27" s="100">
        <x:f t="shared" si="4"/>
        <x:v>348000</x:v>
      </x:c>
      <x:c r="K27" s="94" t="s">
        <x:v>5</x:v>
      </x:c>
      <x:c r="L27" s="101">
        <x:v>20000</x:v>
      </x:c>
      <x:c r="M27" s="102">
        <x:f t="shared" si="5"/>
        <x:v>13900</x:v>
      </x:c>
      <x:c r="N27" s="102">
        <x:f t="shared" si="6"/>
        <x:v>20800</x:v>
      </x:c>
      <x:c r="O27" s="102">
        <x:f t="shared" si="7"/>
        <x:v>27800</x:v>
      </x:c>
      <x:c r="P27" s="102">
        <x:f t="shared" si="8"/>
        <x:v>34800</x:v>
      </x:c>
      <x:c r="Q27" s="103" t="s">
        <x:v>5</x:v>
      </x:c>
      <x:c r="R27" s="101">
        <x:v>20000</x:v>
      </x:c>
      <x:c r="S27" s="102">
        <x:f t="shared" si="9"/>
        <x:v>13900</x:v>
      </x:c>
      <x:c r="T27" s="102">
        <x:f t="shared" si="10"/>
        <x:v>20800</x:v>
      </x:c>
      <x:c r="U27" s="102">
        <x:f t="shared" si="11"/>
        <x:v>27800</x:v>
      </x:c>
      <x:c r="V27" s="102">
        <x:f t="shared" si="12"/>
        <x:v>34800</x:v>
      </x:c>
      <x:c r="W27" s="104" t="s">
        <x:v>5</x:v>
      </x:c>
      <x:c r="X27" s="101" t="s">
        <x:v>5</x:v>
      </x:c>
      <x:c r="Y27" s="102">
        <x:f t="shared" si="13"/>
        <x:v>13900</x:v>
      </x:c>
      <x:c r="Z27" s="102">
        <x:f t="shared" si="14"/>
        <x:v>20800</x:v>
      </x:c>
      <x:c r="AA27" s="102">
        <x:f t="shared" si="15"/>
        <x:v>27800</x:v>
      </x:c>
      <x:c r="AB27" s="105">
        <x:f t="shared" si="16"/>
        <x:v>34800</x:v>
      </x:c>
      <x:c r="AC27" s="104" t="s">
        <x:v>5</x:v>
      </x:c>
      <x:c r="AD27" s="101">
        <x:v>20000</x:v>
      </x:c>
      <x:c r="AE27" s="102">
        <x:f t="shared" si="17"/>
        <x:v>6900</x:v>
      </x:c>
      <x:c r="AF27" s="102">
        <x:f t="shared" si="18"/>
        <x:v>10400</x:v>
      </x:c>
      <x:c r="AG27" s="102">
        <x:f t="shared" si="19"/>
        <x:v>13900</x:v>
      </x:c>
      <x:c r="AH27" s="102">
        <x:f t="shared" si="20"/>
        <x:v>17400</x:v>
      </x:c>
      <x:c r="AI27" s="104" t="s">
        <x:v>5</x:v>
      </x:c>
      <x:c r="AJ27" s="101">
        <x:v>20000</x:v>
      </x:c>
      <x:c r="AK27" s="102">
        <x:f t="shared" si="21"/>
        <x:v>6900</x:v>
      </x:c>
      <x:c r="AL27" s="102">
        <x:f t="shared" si="22"/>
        <x:v>10400</x:v>
      </x:c>
      <x:c r="AM27" s="102">
        <x:f t="shared" si="23"/>
        <x:v>13900</x:v>
      </x:c>
      <x:c r="AN27" s="105">
        <x:f t="shared" si="24"/>
        <x:v>17400</x:v>
      </x:c>
      <x:c r="AO27" s="106" t="s">
        <x:v>5</x:v>
      </x:c>
      <x:c r="AP27" s="107" t="s">
        <x:v>5</x:v>
      </x:c>
      <x:c r="AQ27" s="102">
        <x:f t="shared" si="25"/>
        <x:v>6900</x:v>
      </x:c>
      <x:c r="AR27" s="102">
        <x:f t="shared" si="26"/>
        <x:v>10400</x:v>
      </x:c>
      <x:c r="AS27" s="102">
        <x:f t="shared" si="27"/>
        <x:v>13900</x:v>
      </x:c>
      <x:c r="AT27" s="108">
        <x:f t="shared" si="28"/>
        <x:v>17400</x:v>
      </x:c>
    </x:row>
    <x:row r="28" spans="2:46">
      <x:c r="B28" s="77">
        <x:v>669000</x:v>
      </x:c>
      <x:c r="C28" s="94" t="s">
        <x:v>22</x:v>
      </x:c>
      <x:c r="D28" s="95">
        <x:f t="shared" si="1"/>
        <x:v>40.301100173711639</x:v>
      </x:c>
      <x:c r="E28" s="80">
        <x:f t="shared" si="29"/>
        <x:v>696000</x:v>
      </x:c>
      <x:c r="F28" s="96">
        <x:f t="shared" si="2"/>
        <x:v>696000</x:v>
      </x:c>
      <x:c r="G28" s="97">
        <x:f t="shared" si="3"/>
        <x:v>696000</x:v>
      </x:c>
      <x:c r="H28" s="98">
        <x:f t="shared" si="4"/>
        <x:v>348000</x:v>
      </x:c>
      <x:c r="I28" s="99">
        <x:f t="shared" si="4"/>
        <x:v>348000</x:v>
      </x:c>
      <x:c r="J28" s="100">
        <x:f t="shared" si="4"/>
        <x:v>348000</x:v>
      </x:c>
      <x:c r="K28" s="94" t="s">
        <x:v>5</x:v>
      </x:c>
      <x:c r="L28" s="101">
        <x:v>20000</x:v>
      </x:c>
      <x:c r="M28" s="102">
        <x:f t="shared" si="5"/>
        <x:v>13900</x:v>
      </x:c>
      <x:c r="N28" s="102">
        <x:f t="shared" si="6"/>
        <x:v>20800</x:v>
      </x:c>
      <x:c r="O28" s="102">
        <x:f t="shared" si="7"/>
        <x:v>27800</x:v>
      </x:c>
      <x:c r="P28" s="102">
        <x:f t="shared" si="8"/>
        <x:v>34800</x:v>
      </x:c>
      <x:c r="Q28" s="103" t="s">
        <x:v>5</x:v>
      </x:c>
      <x:c r="R28" s="101">
        <x:v>20000</x:v>
      </x:c>
      <x:c r="S28" s="102">
        <x:f t="shared" si="9"/>
        <x:v>13900</x:v>
      </x:c>
      <x:c r="T28" s="102">
        <x:f t="shared" si="10"/>
        <x:v>20800</x:v>
      </x:c>
      <x:c r="U28" s="102">
        <x:f t="shared" si="11"/>
        <x:v>27800</x:v>
      </x:c>
      <x:c r="V28" s="102">
        <x:f t="shared" si="12"/>
        <x:v>34800</x:v>
      </x:c>
      <x:c r="W28" s="104" t="s">
        <x:v>5</x:v>
      </x:c>
      <x:c r="X28" s="101" t="s">
        <x:v>5</x:v>
      </x:c>
      <x:c r="Y28" s="102">
        <x:f t="shared" si="13"/>
        <x:v>13900</x:v>
      </x:c>
      <x:c r="Z28" s="102">
        <x:f t="shared" si="14"/>
        <x:v>20800</x:v>
      </x:c>
      <x:c r="AA28" s="102">
        <x:f t="shared" si="15"/>
        <x:v>27800</x:v>
      </x:c>
      <x:c r="AB28" s="105">
        <x:f t="shared" si="16"/>
        <x:v>34800</x:v>
      </x:c>
      <x:c r="AC28" s="104" t="s">
        <x:v>5</x:v>
      </x:c>
      <x:c r="AD28" s="101">
        <x:v>20000</x:v>
      </x:c>
      <x:c r="AE28" s="102">
        <x:f t="shared" si="17"/>
        <x:v>6900</x:v>
      </x:c>
      <x:c r="AF28" s="102">
        <x:f t="shared" si="18"/>
        <x:v>10400</x:v>
      </x:c>
      <x:c r="AG28" s="102">
        <x:f t="shared" si="19"/>
        <x:v>13900</x:v>
      </x:c>
      <x:c r="AH28" s="102">
        <x:f t="shared" si="20"/>
        <x:v>17400</x:v>
      </x:c>
      <x:c r="AI28" s="104" t="s">
        <x:v>5</x:v>
      </x:c>
      <x:c r="AJ28" s="101">
        <x:v>20000</x:v>
      </x:c>
      <x:c r="AK28" s="102">
        <x:f t="shared" si="21"/>
        <x:v>6900</x:v>
      </x:c>
      <x:c r="AL28" s="102">
        <x:f t="shared" si="22"/>
        <x:v>10400</x:v>
      </x:c>
      <x:c r="AM28" s="102">
        <x:f t="shared" si="23"/>
        <x:v>13900</x:v>
      </x:c>
      <x:c r="AN28" s="105">
        <x:f t="shared" si="24"/>
        <x:v>17400</x:v>
      </x:c>
      <x:c r="AO28" s="106" t="s">
        <x:v>5</x:v>
      </x:c>
      <x:c r="AP28" s="107" t="s">
        <x:v>5</x:v>
      </x:c>
      <x:c r="AQ28" s="102">
        <x:f t="shared" si="25"/>
        <x:v>6900</x:v>
      </x:c>
      <x:c r="AR28" s="102">
        <x:f t="shared" si="26"/>
        <x:v>10400</x:v>
      </x:c>
      <x:c r="AS28" s="102">
        <x:f t="shared" si="27"/>
        <x:v>13900</x:v>
      </x:c>
      <x:c r="AT28" s="108">
        <x:f t="shared" si="28"/>
        <x:v>17400</x:v>
      </x:c>
    </x:row>
  </x:sheetData>
  <x:mergeCells count="27">
    <x:mergeCell ref="C6:J6"/>
    <x:mergeCell ref="K6:AT6"/>
    <x:mergeCell ref="C7:C8"/>
    <x:mergeCell ref="D7:D8"/>
    <x:mergeCell ref="E7:E8"/>
    <x:mergeCell ref="F7:G7"/>
    <x:mergeCell ref="H7:J7"/>
    <x:mergeCell ref="K7:P7"/>
    <x:mergeCell ref="Q7:V7"/>
    <x:mergeCell ref="W7:AB7"/>
    <x:mergeCell ref="AC7:AH7"/>
    <x:mergeCell ref="AI7:AN7"/>
    <x:mergeCell ref="AO7:AT7"/>
    <x:mergeCell ref="C15:J15"/>
    <x:mergeCell ref="K15:AT15"/>
    <x:mergeCell ref="B16:B17"/>
    <x:mergeCell ref="C16:C17"/>
    <x:mergeCell ref="D16:D17"/>
    <x:mergeCell ref="E16:E17"/>
    <x:mergeCell ref="F16:G16"/>
    <x:mergeCell ref="H16:J16"/>
    <x:mergeCell ref="K16:P16"/>
    <x:mergeCell ref="Q16:V16"/>
    <x:mergeCell ref="W16:AB16"/>
    <x:mergeCell ref="AC16:AH16"/>
    <x:mergeCell ref="AI16:AN16"/>
    <x:mergeCell ref="AO16:AT16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C5:T15"/>
  <x:sheetViews>
    <x:sheetView topLeftCell="A1" zoomScaleNormal="100" zoomScaleSheetLayoutView="100" workbookViewId="0">
      <x:selection activeCell="C5" activeCellId="0" sqref="C5:C6"/>
    </x:sheetView>
  </x:sheetViews>
  <x:sheetFormatPr defaultColWidth="8.796875" defaultRowHeight="16.39999999999999857891"/>
  <x:cols>
    <x:col min="5" max="5" width="8.796875" customWidth="1"/>
    <x:col min="6" max="20" width="11.77734375" customWidth="1"/>
  </x:cols>
  <x:sheetData>
    <x:row r="5" spans="3:20">
      <x:c r="C5" s="152" t="s">
        <x:v>12</x:v>
      </x:c>
      <x:c r="D5" s="152" t="s">
        <x:v>6</x:v>
      </x:c>
      <x:c r="E5" s="1" t="s">
        <x:v>10</x:v>
      </x:c>
      <x:c r="F5" s="2" t="s">
        <x:v>51</x:v>
      </x:c>
      <x:c r="G5" s="2" t="s">
        <x:v>52</x:v>
      </x:c>
      <x:c r="H5" s="2" t="s">
        <x:v>53</x:v>
      </x:c>
      <x:c r="I5" s="2" t="s">
        <x:v>54</x:v>
      </x:c>
      <x:c r="J5" s="2" t="s">
        <x:v>55</x:v>
      </x:c>
      <x:c r="K5" s="2" t="s">
        <x:v>57</x:v>
      </x:c>
      <x:c r="L5" s="2" t="s">
        <x:v>13</x:v>
      </x:c>
      <x:c r="M5" s="2" t="s">
        <x:v>14</x:v>
      </x:c>
      <x:c r="N5" s="2" t="s">
        <x:v>15</x:v>
      </x:c>
      <x:c r="O5" s="2" t="s">
        <x:v>21</x:v>
      </x:c>
      <x:c r="P5" s="2" t="s">
        <x:v>16</x:v>
      </x:c>
      <x:c r="Q5" s="2" t="s">
        <x:v>17</x:v>
      </x:c>
      <x:c r="R5" s="2" t="s">
        <x:v>18</x:v>
      </x:c>
      <x:c r="S5" s="2" t="s">
        <x:v>19</x:v>
      </x:c>
      <x:c r="T5" s="2" t="s">
        <x:v>20</x:v>
      </x:c>
    </x:row>
    <x:row r="6" spans="3:20">
      <x:c r="C6" s="152"/>
      <x:c r="D6" s="152"/>
      <x:c r="E6" s="3"/>
      <x:c r="F6" s="4">
        <x:v>1040000</x:v>
      </x:c>
      <x:c r="G6" s="4">
        <x:v>1558000</x:v>
      </x:c>
      <x:c r="H6" s="4">
        <x:v>2076000</x:v>
      </x:c>
      <x:c r="I6" s="4">
        <x:v>2593000</x:v>
      </x:c>
      <x:c r="J6" s="4">
        <x:v>3112000</x:v>
      </x:c>
      <x:c r="K6" s="4">
        <x:v>3629000</x:v>
      </x:c>
      <x:c r="L6" s="4">
        <x:v>4148000</x:v>
      </x:c>
      <x:c r="M6" s="4">
        <x:v>4665000</x:v>
      </x:c>
      <x:c r="N6" s="4">
        <x:v>5181000</x:v>
      </x:c>
      <x:c r="O6" s="4">
        <x:v>5703000</x:v>
      </x:c>
      <x:c r="P6" s="4">
        <x:v>6221000</x:v>
      </x:c>
      <x:c r="Q6" s="4">
        <x:v>6739000</x:v>
      </x:c>
      <x:c r="R6" s="4">
        <x:v>7257000</x:v>
      </x:c>
      <x:c r="S6" s="4">
        <x:v>7774000</x:v>
      </x:c>
      <x:c r="T6" s="4">
        <x:v>8293000</x:v>
      </x:c>
    </x:row>
    <x:row r="7" spans="3:20">
      <x:c r="C7" s="5" t="s">
        <x:v>56</x:v>
      </x:c>
      <x:c r="D7" s="6">
        <x:v>0.040000000000000002</x:v>
      </x:c>
      <x:c r="E7" s="7">
        <x:f>IF(ROUNDDOWN(E$6*$D7,-2)&gt;'[C:/Users/LG/Documents/2026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조견표.xlsx]산정특례'!$U$4,ROUNDDOWN(E$6*$D7,-2))</x:f>
        <x:v>0</x:v>
      </x:c>
      <x:c r="F7" s="8">
        <x:f>IF(ROUNDDOWN(F$6*$D7,-2)&gt;'[C:/Users/LG/Documents/2026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조견표.xlsx]산정특례'!$U$4,ROUNDDOWN(F$6*$D7,-2))</x:f>
        <x:v>41600</x:v>
      </x:c>
      <x:c r="G7" s="8">
        <x:f>IF(ROUNDDOWN(G$6*$D7,-2)&gt;'[C:/Users/LG/Documents/2026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조견표.xlsx]산정특례'!$U$4,ROUNDDOWN(G$6*$D7,-2))</x:f>
        <x:v>62300</x:v>
      </x:c>
      <x:c r="H7" s="8">
        <x:f>IF(ROUNDDOWN(H$6*$D7,-2)&gt;'[C:/Users/LG/Documents/2026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조견표.xlsx]산정특례'!$U$4,ROUNDDOWN(H$6*$D7,-2))</x:f>
        <x:v>83000</x:v>
      </x:c>
      <x:c r="I7" s="8">
        <x:f>IF(ROUNDDOWN(I$6*$D7,-2)&gt;'[C:/Users/LG/Documents/2026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조견표.xlsx]산정특례'!$U$4,ROUNDDOWN(I$6*$D7,-2))</x:f>
        <x:v>103700</x:v>
      </x:c>
      <x:c r="J7" s="8">
        <x:f>IF(ROUNDDOWN(J$6*$D7,-2)&gt;'[C:/Users/LG/Documents/2026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조견표.xlsx]산정특례'!$U$4,ROUNDDOWN(J$6*$D7,-2))</x:f>
        <x:v>124400</x:v>
      </x:c>
      <x:c r="K7" s="8">
        <x:f>IF(ROUNDDOWN(K$6*$D7,-2)&gt;'[C:/Users/LG/Documents/2026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조견표.xlsx]산정특례'!$U$4,ROUNDDOWN(K$6*$D7,-2))</x:f>
        <x:v>145100</x:v>
      </x:c>
      <x:c r="L7" s="8">
        <x:f>IF(ROUNDDOWN(L$6*$D7,-2)&gt;'[C:/Users/LG/Documents/2026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조견표.xlsx]산정특례'!$U$4,ROUNDDOWN(L$6*$D7,-2))</x:f>
        <x:v>165900</x:v>
      </x:c>
      <x:c r="M7" s="8">
        <x:f>IF(ROUNDDOWN(M$6*$D7,-2)&gt;'[C:/Users/LG/Documents/2026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조견표.xlsx]산정특례'!$U$4,ROUNDDOWN(M$6*$D7,-2))</x:f>
        <x:v>186600</x:v>
      </x:c>
      <x:c r="N7" s="8">
        <x:f>IF(ROUNDDOWN(N$6*$D7,-2)&gt;'[C:/Users/LG/Documents/2026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조견표.xlsx]산정특례'!$U$4,ROUNDDOWN(N$6*$D7,-2))</x:f>
        <x:v>207200</x:v>
      </x:c>
      <x:c r="O7" s="8">
        <x:f>IF(ROUNDDOWN(O$6*$D7,-2)&gt;'[C:/Users/LG/Documents/2026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조견표.xlsx]산정특례'!$U$4,ROUNDDOWN(O$6*$D7,-2))</x:f>
        <x:v>216200</x:v>
      </x:c>
      <x:c r="P7" s="8">
        <x:f>IF(ROUNDDOWN(P$6*$D7,-2)&gt;'[C:/Users/LG/Documents/2026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조견표.xlsx]산정특례'!$U$4,ROUNDDOWN(P$6*$D7,-2))</x:f>
        <x:v>216200</x:v>
      </x:c>
      <x:c r="Q7" s="8">
        <x:f>IF(ROUNDDOWN(Q$6*$D7,-2)&gt;'[C:/Users/LG/Documents/2026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조견표.xlsx]산정특례'!$U$4,ROUNDDOWN(Q$6*$D7,-2))</x:f>
        <x:v>216200</x:v>
      </x:c>
      <x:c r="R7" s="8">
        <x:f>IF(ROUNDDOWN(R$6*$D7,-2)&gt;'[C:/Users/LG/Documents/2026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조견표.xlsx]산정특례'!$U$4,ROUNDDOWN(R$6*$D7,-2))</x:f>
        <x:v>216200</x:v>
      </x:c>
      <x:c r="S7" s="8">
        <x:f>IF(ROUNDDOWN(S$6*$D7,-2)&gt;'[C:/Users/LG/Documents/2026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조견표.xlsx]산정특례'!$U$4,ROUNDDOWN(S$6*$D7,-2))</x:f>
        <x:v>216200</x:v>
      </x:c>
      <x:c r="T7" s="8">
        <x:f>IF(ROUNDDOWN(T$6*$D7,-2)&gt;'[C:/Users/LG/Documents/2026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조견표.xlsx]산정특례'!$U$4,ROUNDDOWN(T$6*$D7,-2))</x:f>
        <x:v>216200</x:v>
      </x:c>
    </x:row>
    <x:row r="8" spans="3:20">
      <x:c r="C8" s="5" t="s">
        <x:v>58</x:v>
      </x:c>
      <x:c r="D8" s="6">
        <x:v>0.059999999999999998</x:v>
      </x:c>
      <x:c r="E8" s="7">
        <x:f>IF(ROUNDDOWN(E$6*$D8,-2)&gt;'[C:/Users/LG/Documents/2026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조견표.xlsx]산정특례'!$U$4,ROUNDDOWN(E$6*$D8,-2))</x:f>
        <x:v>0</x:v>
      </x:c>
      <x:c r="F8" s="8">
        <x:f>IF(ROUNDDOWN(F$6*$D8,-2)&gt;'[C:/Users/LG/Documents/2026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조견표.xlsx]산정특례'!$U$4,ROUNDDOWN(F$6*$D8,-2))</x:f>
        <x:v>62400</x:v>
      </x:c>
      <x:c r="G8" s="8">
        <x:f>IF(ROUNDDOWN(G$6*$D8,-2)&gt;'[C:/Users/LG/Documents/2026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조견표.xlsx]산정특례'!$U$4,ROUNDDOWN(G$6*$D8,-2))</x:f>
        <x:v>93400</x:v>
      </x:c>
      <x:c r="H8" s="8">
        <x:f>IF(ROUNDDOWN(H$6*$D8,-2)&gt;'[C:/Users/LG/Documents/2026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조견표.xlsx]산정특례'!$U$4,ROUNDDOWN(H$6*$D8,-2))</x:f>
        <x:v>124500</x:v>
      </x:c>
      <x:c r="I8" s="8">
        <x:f>IF(ROUNDDOWN(I$6*$D8,-2)&gt;'[C:/Users/LG/Documents/2026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조견표.xlsx]산정특례'!$U$4,ROUNDDOWN(I$6*$D8,-2))</x:f>
        <x:v>155500</x:v>
      </x:c>
      <x:c r="J8" s="8">
        <x:f>IF(ROUNDDOWN(J$6*$D8,-2)&gt;'[C:/Users/LG/Documents/2026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조견표.xlsx]산정특례'!$U$4,ROUNDDOWN(J$6*$D8,-2))</x:f>
        <x:v>186700</x:v>
      </x:c>
      <x:c r="K8" s="8">
        <x:f>IF(ROUNDDOWN(K$6*$D8,-2)&gt;'[C:/Users/LG/Documents/2026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조견표.xlsx]산정특례'!$U$4,ROUNDDOWN(K$6*$D8,-2))</x:f>
        <x:v>216200</x:v>
      </x:c>
      <x:c r="L8" s="8">
        <x:f>IF(ROUNDDOWN(L$6*$D8,-2)&gt;'[C:/Users/LG/Documents/2026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조견표.xlsx]산정특례'!$U$4,ROUNDDOWN(L$6*$D8,-2))</x:f>
        <x:v>216200</x:v>
      </x:c>
      <x:c r="M8" s="8">
        <x:f>IF(ROUNDDOWN(M$6*$D8,-2)&gt;'[C:/Users/LG/Documents/2026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조견표.xlsx]산정특례'!$U$4,ROUNDDOWN(M$6*$D8,-2))</x:f>
        <x:v>216200</x:v>
      </x:c>
      <x:c r="N8" s="8">
        <x:f>IF(ROUNDDOWN(N$6*$D8,-2)&gt;'[C:/Users/LG/Documents/2026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조견표.xlsx]산정특례'!$U$4,ROUNDDOWN(N$6*$D8,-2))</x:f>
        <x:v>216200</x:v>
      </x:c>
      <x:c r="O8" s="8">
        <x:f>IF(ROUNDDOWN(O$6*$D8,-2)&gt;'[C:/Users/LG/Documents/2026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조견표.xlsx]산정특례'!$U$4,ROUNDDOWN(O$6*$D8,-2))</x:f>
        <x:v>216200</x:v>
      </x:c>
      <x:c r="P8" s="8">
        <x:f>IF(ROUNDDOWN(P$6*$D8,-2)&gt;'[C:/Users/LG/Documents/2026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조견표.xlsx]산정특례'!$U$4,ROUNDDOWN(P$6*$D8,-2))</x:f>
        <x:v>216200</x:v>
      </x:c>
      <x:c r="Q8" s="8">
        <x:f>IF(ROUNDDOWN(Q$6*$D8,-2)&gt;'[C:/Users/LG/Documents/2026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조견표.xlsx]산정특례'!$U$4,ROUNDDOWN(Q$6*$D8,-2))</x:f>
        <x:v>216200</x:v>
      </x:c>
      <x:c r="R8" s="8">
        <x:f>IF(ROUNDDOWN(R$6*$D8,-2)&gt;'[C:/Users/LG/Documents/2026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조견표.xlsx]산정특례'!$U$4,ROUNDDOWN(R$6*$D8,-2))</x:f>
        <x:v>216200</x:v>
      </x:c>
      <x:c r="S8" s="8">
        <x:f>IF(ROUNDDOWN(S$6*$D8,-2)&gt;'[C:/Users/LG/Documents/2026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조견표.xlsx]산정특례'!$U$4,ROUNDDOWN(S$6*$D8,-2))</x:f>
        <x:v>216200</x:v>
      </x:c>
      <x:c r="T8" s="8">
        <x:f>IF(ROUNDDOWN(T$6*$D8,-2)&gt;'[C:/Users/LG/Documents/2026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조견표.xlsx]산정특례'!$U$4,ROUNDDOWN(T$6*$D8,-2))</x:f>
        <x:v>216200</x:v>
      </x:c>
    </x:row>
    <x:row r="9" spans="3:20">
      <x:c r="C9" s="5" t="s">
        <x:v>60</x:v>
      </x:c>
      <x:c r="D9" s="6">
        <x:v>0.080000000000000004</x:v>
      </x:c>
      <x:c r="E9" s="7">
        <x:f>IF(ROUNDDOWN(E$6*$D9,-2)&gt;'[C:/Users/LG/Documents/2026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조견표.xlsx]산정특례'!$U$4,ROUNDDOWN(E$6*$D9,-2))</x:f>
        <x:v>0</x:v>
      </x:c>
      <x:c r="F9" s="8">
        <x:f>IF(ROUNDDOWN(F$6*$D9,-2)&gt;'[C:/Users/LG/Documents/2026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조견표.xlsx]산정특례'!$U$4,ROUNDDOWN(F$6*$D9,-2))</x:f>
        <x:v>83200</x:v>
      </x:c>
      <x:c r="G9" s="8">
        <x:f>IF(ROUNDDOWN(G$6*$D9,-2)&gt;'[C:/Users/LG/Documents/2026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조견표.xlsx]산정특례'!$U$4,ROUNDDOWN(G$6*$D9,-2))</x:f>
        <x:v>124600</x:v>
      </x:c>
      <x:c r="H9" s="8">
        <x:f>IF(ROUNDDOWN(H$6*$D9,-2)&gt;'[C:/Users/LG/Documents/2026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조견표.xlsx]산정특례'!$U$4,ROUNDDOWN(H$6*$D9,-2))</x:f>
        <x:v>166000</x:v>
      </x:c>
      <x:c r="I9" s="8">
        <x:f>IF(ROUNDDOWN(I$6*$D9,-2)&gt;'[C:/Users/LG/Documents/2026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조견표.xlsx]산정특례'!$U$4,ROUNDDOWN(I$6*$D9,-2))</x:f>
        <x:v>207400</x:v>
      </x:c>
      <x:c r="J9" s="8">
        <x:f>IF(ROUNDDOWN(J$6*$D9,-2)&gt;'[C:/Users/LG/Documents/2026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조견표.xlsx]산정특례'!$U$4,ROUNDDOWN(J$6*$D9,-2))</x:f>
        <x:v>216200</x:v>
      </x:c>
      <x:c r="K9" s="8">
        <x:f>IF(ROUNDDOWN(K$6*$D9,-2)&gt;'[C:/Users/LG/Documents/2026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조견표.xlsx]산정특례'!$U$4,ROUNDDOWN(K$6*$D9,-2))</x:f>
        <x:v>216200</x:v>
      </x:c>
      <x:c r="L9" s="8">
        <x:f>IF(ROUNDDOWN(L$6*$D9,-2)&gt;'[C:/Users/LG/Documents/2026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조견표.xlsx]산정특례'!$U$4,ROUNDDOWN(L$6*$D9,-2))</x:f>
        <x:v>216200</x:v>
      </x:c>
      <x:c r="M9" s="8">
        <x:f>IF(ROUNDDOWN(M$6*$D9,-2)&gt;'[C:/Users/LG/Documents/2026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조견표.xlsx]산정특례'!$U$4,ROUNDDOWN(M$6*$D9,-2))</x:f>
        <x:v>216200</x:v>
      </x:c>
      <x:c r="N9" s="8">
        <x:f>IF(ROUNDDOWN(N$6*$D9,-2)&gt;'[C:/Users/LG/Documents/2026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조견표.xlsx]산정특례'!$U$4,ROUNDDOWN(N$6*$D9,-2))</x:f>
        <x:v>216200</x:v>
      </x:c>
      <x:c r="O9" s="8">
        <x:f>IF(ROUNDDOWN(O$6*$D9,-2)&gt;'[C:/Users/LG/Documents/2026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조견표.xlsx]산정특례'!$U$4,ROUNDDOWN(O$6*$D9,-2))</x:f>
        <x:v>216200</x:v>
      </x:c>
      <x:c r="P9" s="8">
        <x:f>IF(ROUNDDOWN(P$6*$D9,-2)&gt;'[C:/Users/LG/Documents/2026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조견표.xlsx]산정특례'!$U$4,ROUNDDOWN(P$6*$D9,-2))</x:f>
        <x:v>216200</x:v>
      </x:c>
      <x:c r="Q9" s="8">
        <x:f>IF(ROUNDDOWN(Q$6*$D9,-2)&gt;'[C:/Users/LG/Documents/2026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조견표.xlsx]산정특례'!$U$4,ROUNDDOWN(Q$6*$D9,-2))</x:f>
        <x:v>216200</x:v>
      </x:c>
      <x:c r="R9" s="8">
        <x:f>IF(ROUNDDOWN(R$6*$D9,-2)&gt;'[C:/Users/LG/Documents/2026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조견표.xlsx]산정특례'!$U$4,ROUNDDOWN(R$6*$D9,-2))</x:f>
        <x:v>216200</x:v>
      </x:c>
      <x:c r="S9" s="8">
        <x:f>IF(ROUNDDOWN(S$6*$D9,-2)&gt;'[C:/Users/LG/Documents/2026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조견표.xlsx]산정특례'!$U$4,ROUNDDOWN(S$6*$D9,-2))</x:f>
        <x:v>216200</x:v>
      </x:c>
      <x:c r="T9" s="8">
        <x:f>IF(ROUNDDOWN(T$6*$D9,-2)&gt;'[C:/Users/LG/Documents/2026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조견표.xlsx]산정특례'!$U$4,ROUNDDOWN(T$6*$D9,-2))</x:f>
        <x:v>216200</x:v>
      </x:c>
    </x:row>
    <x:row r="10" spans="3:20">
      <x:c r="C10" s="5" t="s">
        <x:v>59</x:v>
      </x:c>
      <x:c r="D10" s="6">
        <x:v>0.10000000000000001</x:v>
      </x:c>
      <x:c r="E10" s="7">
        <x:f>IF(ROUNDDOWN(E$6*$D10,-2)&gt;'[C:/Users/LG/Documents/2026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조견표.xlsx]산정특례'!$U$4,ROUNDDOWN(E$6*$D10,-2))</x:f>
        <x:v>0</x:v>
      </x:c>
      <x:c r="F10" s="8">
        <x:f>IF(ROUNDDOWN(F$6*$D10,-2)&gt;'[C:/Users/LG/Documents/2026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조견표.xlsx]산정특례'!$U$4,ROUNDDOWN(F$6*$D10,-2))</x:f>
        <x:v>104000</x:v>
      </x:c>
      <x:c r="G10" s="8">
        <x:f>IF(ROUNDDOWN(G$6*$D10,-2)&gt;'[C:/Users/LG/Documents/2026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조견표.xlsx]산정특례'!$U$4,ROUNDDOWN(G$6*$D10,-2))</x:f>
        <x:v>155800</x:v>
      </x:c>
      <x:c r="H10" s="8">
        <x:f>IF(ROUNDDOWN(H$6*$D10,-2)&gt;'[C:/Users/LG/Documents/2026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조견표.xlsx]산정특례'!$U$4,ROUNDDOWN(H$6*$D10,-2))</x:f>
        <x:v>207600</x:v>
      </x:c>
      <x:c r="I10" s="8">
        <x:f>IF(ROUNDDOWN(I$6*$D10,-2)&gt;'[C:/Users/LG/Documents/2026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조견표.xlsx]산정특례'!$U$4,ROUNDDOWN(I$6*$D10,-2))</x:f>
        <x:v>216200</x:v>
      </x:c>
      <x:c r="J10" s="8">
        <x:f>IF(ROUNDDOWN(J$6*$D10,-2)&gt;'[C:/Users/LG/Documents/2026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조견표.xlsx]산정특례'!$U$4,ROUNDDOWN(J$6*$D10,-2))</x:f>
        <x:v>216200</x:v>
      </x:c>
      <x:c r="K10" s="8">
        <x:f>IF(ROUNDDOWN(K$6*$D10,-2)&gt;'[C:/Users/LG/Documents/2026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조견표.xlsx]산정특례'!$U$4,ROUNDDOWN(K$6*$D10,-2))</x:f>
        <x:v>216200</x:v>
      </x:c>
      <x:c r="L10" s="8">
        <x:f>IF(ROUNDDOWN(L$6*$D10,-2)&gt;'[C:/Users/LG/Documents/2026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조견표.xlsx]산정특례'!$U$4,ROUNDDOWN(L$6*$D10,-2))</x:f>
        <x:v>216200</x:v>
      </x:c>
      <x:c r="M10" s="8">
        <x:f>IF(ROUNDDOWN(M$6*$D10,-2)&gt;'[C:/Users/LG/Documents/2026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조견표.xlsx]산정특례'!$U$4,ROUNDDOWN(M$6*$D10,-2))</x:f>
        <x:v>216200</x:v>
      </x:c>
      <x:c r="N10" s="8">
        <x:f>IF(ROUNDDOWN(N$6*$D10,-2)&gt;'[C:/Users/LG/Documents/2026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조견표.xlsx]산정특례'!$U$4,ROUNDDOWN(N$6*$D10,-2))</x:f>
        <x:v>216200</x:v>
      </x:c>
      <x:c r="O10" s="8">
        <x:f>IF(ROUNDDOWN(O$6*$D10,-2)&gt;'[C:/Users/LG/Documents/2026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조견표.xlsx]산정특례'!$U$4,ROUNDDOWN(O$6*$D10,-2))</x:f>
        <x:v>216200</x:v>
      </x:c>
      <x:c r="P10" s="8">
        <x:f>IF(ROUNDDOWN(P$6*$D10,-2)&gt;'[C:/Users/LG/Documents/2026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조견표.xlsx]산정특례'!$U$4,ROUNDDOWN(P$6*$D10,-2))</x:f>
        <x:v>216200</x:v>
      </x:c>
      <x:c r="Q10" s="8">
        <x:f>IF(ROUNDDOWN(Q$6*$D10,-2)&gt;'[C:/Users/LG/Documents/2026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조견표.xlsx]산정특례'!$U$4,ROUNDDOWN(Q$6*$D10,-2))</x:f>
        <x:v>216200</x:v>
      </x:c>
      <x:c r="R10" s="8">
        <x:f>IF(ROUNDDOWN(R$6*$D10,-2)&gt;'[C:/Users/LG/Documents/2026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조견표.xlsx]산정특례'!$U$4,ROUNDDOWN(R$6*$D10,-2))</x:f>
        <x:v>216200</x:v>
      </x:c>
      <x:c r="S10" s="8">
        <x:f>IF(ROUNDDOWN(S$6*$D10,-2)&gt;'[C:/Users/LG/Documents/2026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조견표.xlsx]산정특례'!$U$4,ROUNDDOWN(S$6*$D10,-2))</x:f>
        <x:v>216200</x:v>
      </x:c>
      <x:c r="T10" s="8">
        <x:f>IF(ROUNDDOWN(T$6*$D10,-2)&gt;'[C:/Users/LG/Documents/2026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조견표.xlsx]산정특례'!$U$4,ROUNDDOWN(T$6*$D10,-2))</x:f>
        <x:v>216200</x:v>
      </x:c>
    </x:row>
    <x:row r="11" spans="3:20">
      <x:c r="C11" s="9" t="s">
        <x:v>36</x:v>
      </x:c>
      <x:c r="D11" s="9"/>
      <x:c r="E11" s="10">
        <x:f>+E6/2</x:f>
        <x:v>0</x:v>
      </x:c>
      <x:c r="F11" s="11">
        <x:f t="shared" ref="F11:T11" si="0">+F6/2</x:f>
        <x:v>520000</x:v>
      </x:c>
      <x:c r="G11" s="11">
        <x:f t="shared" si="0"/>
        <x:v>779000</x:v>
      </x:c>
      <x:c r="H11" s="11">
        <x:f t="shared" si="0"/>
        <x:v>1038000</x:v>
      </x:c>
      <x:c r="I11" s="11">
        <x:f t="shared" si="0"/>
        <x:v>1296500</x:v>
      </x:c>
      <x:c r="J11" s="11">
        <x:f t="shared" si="0"/>
        <x:v>1556000</x:v>
      </x:c>
      <x:c r="K11" s="11">
        <x:f t="shared" si="0"/>
        <x:v>1814500</x:v>
      </x:c>
      <x:c r="L11" s="11">
        <x:f t="shared" si="0"/>
        <x:v>2074000</x:v>
      </x:c>
      <x:c r="M11" s="11">
        <x:f t="shared" si="0"/>
        <x:v>2332500</x:v>
      </x:c>
      <x:c r="N11" s="11">
        <x:f t="shared" si="0"/>
        <x:v>2590500</x:v>
      </x:c>
      <x:c r="O11" s="11">
        <x:f t="shared" si="0"/>
        <x:v>2851500</x:v>
      </x:c>
      <x:c r="P11" s="11">
        <x:f t="shared" si="0"/>
        <x:v>3110500</x:v>
      </x:c>
      <x:c r="Q11" s="11">
        <x:f t="shared" si="0"/>
        <x:v>3369500</x:v>
      </x:c>
      <x:c r="R11" s="11">
        <x:f t="shared" si="0"/>
        <x:v>3628500</x:v>
      </x:c>
      <x:c r="S11" s="11">
        <x:f t="shared" si="0"/>
        <x:v>3887000</x:v>
      </x:c>
      <x:c r="T11" s="11">
        <x:f t="shared" si="0"/>
        <x:v>4146500</x:v>
      </x:c>
    </x:row>
    <x:row r="12" spans="3:20">
      <x:c r="C12" s="5" t="s">
        <x:v>56</x:v>
      </x:c>
      <x:c r="D12" s="6">
        <x:v>0.040000000000000002</x:v>
      </x:c>
      <x:c r="E12" s="7">
        <x:f>IF(ROUNDDOWN(E$11*$D12,-2)&gt;'[C:/Users/LG/Documents/2026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조견표.xlsx]산정특례'!$U$4,ROUNDDOWN(E$11*$D12,-2))</x:f>
        <x:v>0</x:v>
      </x:c>
      <x:c r="F12" s="8">
        <x:f>IF(ROUNDDOWN(F$11*$D12,-2)&gt;'[C:/Users/LG/Documents/2026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조견표.xlsx]산정특례'!$U$4,ROUNDDOWN(F$11*$D12,-2))</x:f>
        <x:v>20800</x:v>
      </x:c>
      <x:c r="G12" s="8">
        <x:f>IF(ROUNDDOWN(G$11*$D12,-2)&gt;'[C:/Users/LG/Documents/2026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조견표.xlsx]산정특례'!$U$4,ROUNDDOWN(G$11*$D12,-2))</x:f>
        <x:v>31100</x:v>
      </x:c>
      <x:c r="H12" s="8">
        <x:f>IF(ROUNDDOWN(H$11*$D12,-2)&gt;'[C:/Users/LG/Documents/2026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조견표.xlsx]산정특례'!$U$4,ROUNDDOWN(H$11*$D12,-2))</x:f>
        <x:v>41500</x:v>
      </x:c>
      <x:c r="I12" s="8">
        <x:f>IF(ROUNDDOWN(I$11*$D12,-2)&gt;'[C:/Users/LG/Documents/2026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조견표.xlsx]산정특례'!$U$4,ROUNDDOWN(I$11*$D12,-2))</x:f>
        <x:v>51800</x:v>
      </x:c>
      <x:c r="J12" s="8">
        <x:f>IF(ROUNDDOWN(J$11*$D12,-2)&gt;'[C:/Users/LG/Documents/2026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조견표.xlsx]산정특례'!$U$4,ROUNDDOWN(J$11*$D12,-2))</x:f>
        <x:v>62200</x:v>
      </x:c>
      <x:c r="K12" s="8">
        <x:f>IF(ROUNDDOWN(K$11*$D12,-2)&gt;'[C:/Users/LG/Documents/2026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조견표.xlsx]산정특례'!$U$4,ROUNDDOWN(K$11*$D12,-2))</x:f>
        <x:v>72500</x:v>
      </x:c>
      <x:c r="L12" s="8">
        <x:f>IF(ROUNDDOWN(L$11*$D12,-2)&gt;'[C:/Users/LG/Documents/2026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조견표.xlsx]산정특례'!$U$4,ROUNDDOWN(L$11*$D12,-2))</x:f>
        <x:v>82900</x:v>
      </x:c>
      <x:c r="M12" s="8">
        <x:f>IF(ROUNDDOWN(M$11*$D12,-2)&gt;'[C:/Users/LG/Documents/2026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조견표.xlsx]산정특례'!$U$4,ROUNDDOWN(M$11*$D12,-2))</x:f>
        <x:v>93300</x:v>
      </x:c>
      <x:c r="N12" s="8">
        <x:f>IF(ROUNDDOWN(N$11*$D12,-2)&gt;'[C:/Users/LG/Documents/2026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조견표.xlsx]산정특례'!$U$4,ROUNDDOWN(N$11*$D12,-2))</x:f>
        <x:v>103600</x:v>
      </x:c>
      <x:c r="O12" s="8">
        <x:f>IF(ROUNDDOWN(O$11*$D12,-2)&gt;'[C:/Users/LG/Documents/2026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조견표.xlsx]산정특례'!$U$4,ROUNDDOWN(O$11*$D12,-2))</x:f>
        <x:v>114000</x:v>
      </x:c>
      <x:c r="P12" s="8">
        <x:f>IF(ROUNDDOWN(P$11*$D12,-2)&gt;'[C:/Users/LG/Documents/2026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조견표.xlsx]산정특례'!$U$4,ROUNDDOWN(P$11*$D12,-2))</x:f>
        <x:v>124400</x:v>
      </x:c>
      <x:c r="Q12" s="8">
        <x:f>IF(ROUNDDOWN(Q$11*$D12,-2)&gt;'[C:/Users/LG/Documents/2026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조견표.xlsx]산정특례'!$U$4,ROUNDDOWN(Q$11*$D12,-2))</x:f>
        <x:v>134700</x:v>
      </x:c>
      <x:c r="R12" s="8">
        <x:f>IF(ROUNDDOWN(R$11*$D12,-2)&gt;'[C:/Users/LG/Documents/2026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조견표.xlsx]산정특례'!$U$4,ROUNDDOWN(R$11*$D12,-2))</x:f>
        <x:v>145100</x:v>
      </x:c>
      <x:c r="S12" s="8">
        <x:f>IF(ROUNDDOWN(S$11*$D12,-2)&gt;'[C:/Users/LG/Documents/2026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조견표.xlsx]산정특례'!$U$4,ROUNDDOWN(S$11*$D12,-2))</x:f>
        <x:v>155400</x:v>
      </x:c>
      <x:c r="T12" s="8">
        <x:f>IF(ROUNDDOWN(T$11*$D12,-2)&gt;'[C:/Users/LG/Documents/2026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조견표.xlsx]산정특례'!$U$4,ROUNDDOWN(T$11*$D12,-2))</x:f>
        <x:v>165800</x:v>
      </x:c>
    </x:row>
    <x:row r="13" spans="3:20">
      <x:c r="C13" s="5" t="s">
        <x:v>58</x:v>
      </x:c>
      <x:c r="D13" s="6">
        <x:v>0.059999999999999998</x:v>
      </x:c>
      <x:c r="E13" s="7">
        <x:f>IF(ROUNDDOWN(E$11*$D13,-2)&gt;'[C:/Users/LG/Documents/2026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조견표.xlsx]산정특례'!$U$4,ROUNDDOWN(E$11*$D13,-2))</x:f>
        <x:v>0</x:v>
      </x:c>
      <x:c r="F13" s="8">
        <x:f>IF(ROUNDDOWN(F$11*$D13,-2)&gt;'[C:/Users/LG/Documents/2026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조견표.xlsx]산정특례'!$U$4,ROUNDDOWN(F$11*$D13,-2))</x:f>
        <x:v>31200</x:v>
      </x:c>
      <x:c r="G13" s="8">
        <x:f>IF(ROUNDDOWN(G$11*$D13,-2)&gt;'[C:/Users/LG/Documents/2026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조견표.xlsx]산정특례'!$U$4,ROUNDDOWN(G$11*$D13,-2))</x:f>
        <x:v>46700</x:v>
      </x:c>
      <x:c r="H13" s="8">
        <x:f>IF(ROUNDDOWN(H$11*$D13,-2)&gt;'[C:/Users/LG/Documents/2026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조견표.xlsx]산정특례'!$U$4,ROUNDDOWN(H$11*$D13,-2))</x:f>
        <x:v>62200</x:v>
      </x:c>
      <x:c r="I13" s="8">
        <x:f>IF(ROUNDDOWN(I$11*$D13,-2)&gt;'[C:/Users/LG/Documents/2026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조견표.xlsx]산정특례'!$U$4,ROUNDDOWN(I$11*$D13,-2))</x:f>
        <x:v>77700</x:v>
      </x:c>
      <x:c r="J13" s="8">
        <x:f>IF(ROUNDDOWN(J$11*$D13,-2)&gt;'[C:/Users/LG/Documents/2026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조견표.xlsx]산정특례'!$U$4,ROUNDDOWN(J$11*$D13,-2))</x:f>
        <x:v>93300</x:v>
      </x:c>
      <x:c r="K13" s="8">
        <x:f>IF(ROUNDDOWN(K$11*$D13,-2)&gt;'[C:/Users/LG/Documents/2026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조견표.xlsx]산정특례'!$U$4,ROUNDDOWN(K$11*$D13,-2))</x:f>
        <x:v>108800</x:v>
      </x:c>
      <x:c r="L13" s="8">
        <x:f>IF(ROUNDDOWN(L$11*$D13,-2)&gt;'[C:/Users/LG/Documents/2026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조견표.xlsx]산정특례'!$U$4,ROUNDDOWN(L$11*$D13,-2))</x:f>
        <x:v>124400</x:v>
      </x:c>
      <x:c r="M13" s="8">
        <x:f>IF(ROUNDDOWN(M$11*$D13,-2)&gt;'[C:/Users/LG/Documents/2026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조견표.xlsx]산정특례'!$U$4,ROUNDDOWN(M$11*$D13,-2))</x:f>
        <x:v>139900</x:v>
      </x:c>
      <x:c r="N13" s="8">
        <x:f>IF(ROUNDDOWN(N$11*$D13,-2)&gt;'[C:/Users/LG/Documents/2026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조견표.xlsx]산정특례'!$U$4,ROUNDDOWN(N$11*$D13,-2))</x:f>
        <x:v>155400</x:v>
      </x:c>
      <x:c r="O13" s="8">
        <x:f>IF(ROUNDDOWN(O$11*$D13,-2)&gt;'[C:/Users/LG/Documents/2026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조견표.xlsx]산정특례'!$U$4,ROUNDDOWN(O$11*$D13,-2))</x:f>
        <x:v>171000</x:v>
      </x:c>
      <x:c r="P13" s="8">
        <x:f>IF(ROUNDDOWN(P$11*$D13,-2)&gt;'[C:/Users/LG/Documents/2026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조견표.xlsx]산정특례'!$U$4,ROUNDDOWN(P$11*$D13,-2))</x:f>
        <x:v>186600</x:v>
      </x:c>
      <x:c r="Q13" s="8">
        <x:f>IF(ROUNDDOWN(Q$11*$D13,-2)&gt;'[C:/Users/LG/Documents/2026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조견표.xlsx]산정특례'!$U$4,ROUNDDOWN(Q$11*$D13,-2))</x:f>
        <x:v>202100</x:v>
      </x:c>
      <x:c r="R13" s="8">
        <x:f>IF(ROUNDDOWN(R$11*$D13,-2)&gt;'[C:/Users/LG/Documents/2026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조견표.xlsx]산정특례'!$U$4,ROUNDDOWN(R$11*$D13,-2))</x:f>
        <x:v>216200</x:v>
      </x:c>
      <x:c r="S13" s="8">
        <x:f>IF(ROUNDDOWN(S$11*$D13,-2)&gt;'[C:/Users/LG/Documents/2026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조견표.xlsx]산정특례'!$U$4,ROUNDDOWN(S$11*$D13,-2))</x:f>
        <x:v>216200</x:v>
      </x:c>
      <x:c r="T13" s="8">
        <x:f>IF(ROUNDDOWN(T$11*$D13,-2)&gt;'[C:/Users/LG/Documents/2026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조견표.xlsx]산정특례'!$U$4,ROUNDDOWN(T$11*$D13,-2))</x:f>
        <x:v>216200</x:v>
      </x:c>
    </x:row>
    <x:row r="14" spans="3:20">
      <x:c r="C14" s="5" t="s">
        <x:v>60</x:v>
      </x:c>
      <x:c r="D14" s="6">
        <x:v>0.080000000000000004</x:v>
      </x:c>
      <x:c r="E14" s="7">
        <x:f>IF(ROUNDDOWN(E$11*$D14,-2)&gt;'[C:/Users/LG/Documents/2026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조견표.xlsx]산정특례'!$U$4,ROUNDDOWN(E$11*$D14,-2))</x:f>
        <x:v>0</x:v>
      </x:c>
      <x:c r="F14" s="8">
        <x:f>IF(ROUNDDOWN(F$11*$D14,-2)&gt;'[C:/Users/LG/Documents/2026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조견표.xlsx]산정특례'!$U$4,ROUNDDOWN(F$11*$D14,-2))</x:f>
        <x:v>41600</x:v>
      </x:c>
      <x:c r="G14" s="8">
        <x:f>IF(ROUNDDOWN(G$11*$D14,-2)&gt;'[C:/Users/LG/Documents/2026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조견표.xlsx]산정특례'!$U$4,ROUNDDOWN(G$11*$D14,-2))</x:f>
        <x:v>62300</x:v>
      </x:c>
      <x:c r="H14" s="8">
        <x:f>IF(ROUNDDOWN(H$11*$D14,-2)&gt;'[C:/Users/LG/Documents/2026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조견표.xlsx]산정특례'!$U$4,ROUNDDOWN(H$11*$D14,-2))</x:f>
        <x:v>83000</x:v>
      </x:c>
      <x:c r="I14" s="8">
        <x:f>IF(ROUNDDOWN(I$11*$D14,-2)&gt;'[C:/Users/LG/Documents/2026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조견표.xlsx]산정특례'!$U$4,ROUNDDOWN(I$11*$D14,-2))</x:f>
        <x:v>103700</x:v>
      </x:c>
      <x:c r="J14" s="8">
        <x:f>IF(ROUNDDOWN(J$11*$D14,-2)&gt;'[C:/Users/LG/Documents/2026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조견표.xlsx]산정특례'!$U$4,ROUNDDOWN(J$11*$D14,-2))</x:f>
        <x:v>124400</x:v>
      </x:c>
      <x:c r="K14" s="8">
        <x:f>IF(ROUNDDOWN(K$11*$D14,-2)&gt;'[C:/Users/LG/Documents/2026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조견표.xlsx]산정특례'!$U$4,ROUNDDOWN(K$11*$D14,-2))</x:f>
        <x:v>145100</x:v>
      </x:c>
      <x:c r="L14" s="8">
        <x:f>IF(ROUNDDOWN(L$11*$D14,-2)&gt;'[C:/Users/LG/Documents/2026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조견표.xlsx]산정특례'!$U$4,ROUNDDOWN(L$11*$D14,-2))</x:f>
        <x:v>165900</x:v>
      </x:c>
      <x:c r="M14" s="8">
        <x:f>IF(ROUNDDOWN(M$11*$D14,-2)&gt;'[C:/Users/LG/Documents/2026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조견표.xlsx]산정특례'!$U$4,ROUNDDOWN(M$11*$D14,-2))</x:f>
        <x:v>186600</x:v>
      </x:c>
      <x:c r="N14" s="8">
        <x:f>IF(ROUNDDOWN(N$11*$D14,-2)&gt;'[C:/Users/LG/Documents/2026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조견표.xlsx]산정특례'!$U$4,ROUNDDOWN(N$11*$D14,-2))</x:f>
        <x:v>207200</x:v>
      </x:c>
      <x:c r="O14" s="8">
        <x:f>IF(ROUNDDOWN(O$11*$D14,-2)&gt;'[C:/Users/LG/Documents/2026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조견표.xlsx]산정특례'!$U$4,ROUNDDOWN(O$11*$D14,-2))</x:f>
        <x:v>216200</x:v>
      </x:c>
      <x:c r="P14" s="8">
        <x:f>IF(ROUNDDOWN(P$11*$D14,-2)&gt;'[C:/Users/LG/Documents/2026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조견표.xlsx]산정특례'!$U$4,ROUNDDOWN(P$11*$D14,-2))</x:f>
        <x:v>216200</x:v>
      </x:c>
      <x:c r="Q14" s="8">
        <x:f>IF(ROUNDDOWN(Q$11*$D14,-2)&gt;'[C:/Users/LG/Documents/2026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조견표.xlsx]산정특례'!$U$4,ROUNDDOWN(Q$11*$D14,-2))</x:f>
        <x:v>216200</x:v>
      </x:c>
      <x:c r="R14" s="8">
        <x:f>IF(ROUNDDOWN(R$11*$D14,-2)&gt;'[C:/Users/LG/Documents/2026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조견표.xlsx]산정특례'!$U$4,ROUNDDOWN(R$11*$D14,-2))</x:f>
        <x:v>216200</x:v>
      </x:c>
      <x:c r="S14" s="8">
        <x:f>IF(ROUNDDOWN(S$11*$D14,-2)&gt;'[C:/Users/LG/Documents/2026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조견표.xlsx]산정특례'!$U$4,ROUNDDOWN(S$11*$D14,-2))</x:f>
        <x:v>216200</x:v>
      </x:c>
      <x:c r="T14" s="8">
        <x:f>IF(ROUNDDOWN(T$11*$D14,-2)&gt;'[C:/Users/LG/Documents/2026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조견표.xlsx]산정특례'!$U$4,ROUNDDOWN(T$11*$D14,-2))</x:f>
        <x:v>216200</x:v>
      </x:c>
    </x:row>
    <x:row r="15" spans="3:20">
      <x:c r="C15" s="5" t="s">
        <x:v>59</x:v>
      </x:c>
      <x:c r="D15" s="6">
        <x:v>0.10000000000000001</x:v>
      </x:c>
      <x:c r="E15" s="7">
        <x:f>IF(ROUNDDOWN(E$11*$D15,-2)&gt;'[C:/Users/LG/Documents/2026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조견표.xlsx]산정특례'!$U$4,ROUNDDOWN(E$11*$D15,-2))</x:f>
        <x:v>0</x:v>
      </x:c>
      <x:c r="F15" s="8">
        <x:f>IF(ROUNDDOWN(F$11*$D15,-2)&gt;'[C:/Users/LG/Documents/2026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조견표.xlsx]산정특례'!$U$4,ROUNDDOWN(F$11*$D15,-2))</x:f>
        <x:v>52000</x:v>
      </x:c>
      <x:c r="G15" s="8">
        <x:f>IF(ROUNDDOWN(G$11*$D15,-2)&gt;'[C:/Users/LG/Documents/2026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조견표.xlsx]산정특례'!$U$4,ROUNDDOWN(G$11*$D15,-2))</x:f>
        <x:v>77900</x:v>
      </x:c>
      <x:c r="H15" s="8">
        <x:f>IF(ROUNDDOWN(H$11*$D15,-2)&gt;'[C:/Users/LG/Documents/2026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조견표.xlsx]산정특례'!$U$4,ROUNDDOWN(H$11*$D15,-2))</x:f>
        <x:v>103800</x:v>
      </x:c>
      <x:c r="I15" s="8">
        <x:f>IF(ROUNDDOWN(I$11*$D15,-2)&gt;'[C:/Users/LG/Documents/2026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조견표.xlsx]산정특례'!$U$4,ROUNDDOWN(I$11*$D15,-2))</x:f>
        <x:v>129600</x:v>
      </x:c>
      <x:c r="J15" s="8">
        <x:f>IF(ROUNDDOWN(J$11*$D15,-2)&gt;'[C:/Users/LG/Documents/2026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조견표.xlsx]산정특례'!$U$4,ROUNDDOWN(J$11*$D15,-2))</x:f>
        <x:v>155600</x:v>
      </x:c>
      <x:c r="K15" s="8">
        <x:f>IF(ROUNDDOWN(K$11*$D15,-2)&gt;'[C:/Users/LG/Documents/2026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조견표.xlsx]산정특례'!$U$4,ROUNDDOWN(K$11*$D15,-2))</x:f>
        <x:v>181400</x:v>
      </x:c>
      <x:c r="L15" s="8">
        <x:f>IF(ROUNDDOWN(L$11*$D15,-2)&gt;'[C:/Users/LG/Documents/2026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조견표.xlsx]산정특례'!$U$4,ROUNDDOWN(L$11*$D15,-2))</x:f>
        <x:v>207400</x:v>
      </x:c>
      <x:c r="M15" s="8">
        <x:f>IF(ROUNDDOWN(M$11*$D15,-2)&gt;'[C:/Users/LG/Documents/2026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조견표.xlsx]산정특례'!$U$4,ROUNDDOWN(M$11*$D15,-2))</x:f>
        <x:v>216200</x:v>
      </x:c>
      <x:c r="N15" s="8">
        <x:f>IF(ROUNDDOWN(N$11*$D15,-2)&gt;'[C:/Users/LG/Documents/2026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조견표.xlsx]산정특례'!$U$4,ROUNDDOWN(N$11*$D15,-2))</x:f>
        <x:v>216200</x:v>
      </x:c>
      <x:c r="O15" s="8">
        <x:f>IF(ROUNDDOWN(O$11*$D15,-2)&gt;'[C:/Users/LG/Documents/2026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조견표.xlsx]산정특례'!$U$4,ROUNDDOWN(O$11*$D15,-2))</x:f>
        <x:v>216200</x:v>
      </x:c>
      <x:c r="P15" s="8">
        <x:f>IF(ROUNDDOWN(P$11*$D15,-2)&gt;'[C:/Users/LG/Documents/2026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조견표.xlsx]산정특례'!$U$4,ROUNDDOWN(P$11*$D15,-2))</x:f>
        <x:v>216200</x:v>
      </x:c>
      <x:c r="Q15" s="8">
        <x:f>IF(ROUNDDOWN(Q$11*$D15,-2)&gt;'[C:/Users/LG/Documents/2026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조견표.xlsx]산정특례'!$U$4,ROUNDDOWN(Q$11*$D15,-2))</x:f>
        <x:v>216200</x:v>
      </x:c>
      <x:c r="R15" s="8">
        <x:f>IF(ROUNDDOWN(R$11*$D15,-2)&gt;'[C:/Users/LG/Documents/2026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조견표.xlsx]산정특례'!$U$4,ROUNDDOWN(R$11*$D15,-2))</x:f>
        <x:v>216200</x:v>
      </x:c>
      <x:c r="S15" s="8">
        <x:f>IF(ROUNDDOWN(S$11*$D15,-2)&gt;'[C:/Users/LG/Documents/2026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조견표.xlsx]산정특례'!$U$4,ROUNDDOWN(S$11*$D15,-2))</x:f>
        <x:v>216200</x:v>
      </x:c>
      <x:c r="T15" s="8">
        <x:f>IF(ROUNDDOWN(T$11*$D15,-2)&gt;'[C:/Users/LG/Documents/2026 공공기관 AI 프로젝트 챌린지를 Job아라/한국사회보장정보원_산학협력 프로젝트 과제5_과제 설명자료 및 데이터/2026 조견표.xlsx]산정특례'!$U$4,'[C:/Users/LG/Documents/2026 공공기관 AI 프로젝트 챌린지를 Job아라/한국사회보장정보원_산학협력 프로젝트 과제5_과제 설명자료 및 데이터/2026 조견표.xlsx]산정특례'!$U$4,ROUNDDOWN(T$11*$D15,-2))</x:f>
        <x:v>216200</x:v>
      </x:c>
    </x:row>
  </x:sheetData>
  <x:mergeCells count="2">
    <x:mergeCell ref="C5:C6"/>
    <x:mergeCell ref="D5:D6"/>
  </x:mergeCell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인정조사</vt:lpstr>
      <vt:lpstr>종합조사</vt:lpstr>
    </vt:vector>
  </ep:TitlesOfParts>
  <ep:TotalTime>179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cp:revision>13</cp:revision>
  <dcterms:created xsi:type="dcterms:W3CDTF">2026-07-03T03:13:20.504</dcterms:created>
  <dcterms:modified xsi:type="dcterms:W3CDTF">2026-07-03T09:44:32.437</dcterms:modified>
  <cp:version>1200.0100.01</cp:version>
</cp:coreProperties>
</file>