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4547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dev\AI00\ssis\ssis-create-excel-table\xlsx_files\"/>
    </mc:Choice>
  </mc:AlternateContent>
  <x:bookViews>
    <x:workbookView xWindow="0" yWindow="0" windowWidth="22788" windowHeight="8112" tabRatio="500" activeTab="2"/>
  </x:bookViews>
  <x:sheets>
    <x:sheet name="인정조사" sheetId="1" r:id="rId4"/>
    <x:sheet name="산정특례" sheetId="2" r:id="rId5"/>
    <x:sheet name="종합조사" sheetId="3" r:id="rId6"/>
  </x:sheets>
  <x:externalReferences>
    <x:externalReference r:id="rId7"/>
  </x:externalReferenc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LG</x:author>
  </x:authors>
  <x:commentList>
    <x:comment ref="E18:E18" authorId="0">
      <x:text>
        <x:r>
          <x:rPr>
            <x:rFont val="돋움"/>
            <x:sz val="9"/>
            <x:color rgb="ff000000"/>
          </x:rPr>
          <x:t>식) [(n-1년 한도액) ÷ (n-1년 단가)] × (n년 단가) 후 천원 단위로 떨어지도록 백원 단위 올림
예) [24년 학교생할 한도액(157,000원) ÷ 24년 단가(16,150원)] × 25년 단가(16,620원) = 161,569.0402 → 올림처리 후 162,000원
예) [25년 학교생활 한도액(168,000원) ÷ 25년 단가(16,620원)] × 26년 단가(17,270원) = 174,570.3971 → 올림처리 후 175,000원</x:t>
        </x:r>
      </x:text>
    </x:comment>
    <x:comment ref="E7:E7" authorId="0">
      <x:text>
        <x:r>
          <x:rPr>
            <x:rFont val="돋움"/>
            <x:sz val="9"/>
            <x:color rgb="ff000000"/>
            <x:b val="1"/>
          </x:rPr>
          <x:t>활동지원급여비용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등에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관한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고시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LG</x:author>
  </x:authors>
  <x:commentList>
    <x:comment ref="T4:T4" authorId="0">
      <x:text>
        <x:r>
          <x:rPr>
            <x:rFont val="Tahoma"/>
            <x:sz val="9"/>
            <x:color rgb="ff000000"/>
            <x:b val="1"/>
          </x:rPr>
          <x:t>n</x:t>
        </x:r>
        <x:r>
          <x:rPr>
            <x:rFont val="돋움"/>
            <x:sz val="9"/>
            <x:color rgb="ff000000"/>
            <x:b val="1"/>
          </x:rPr>
          <x:t>년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본인부담금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산정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활용하는</x:t>
        </x:r>
        <x:r>
          <x:rPr>
            <x:rFont val="Tahoma"/>
            <x:sz val="9"/>
            <x:color rgb="ff000000"/>
            <x:b val="1"/>
          </x:rPr>
          <x:t xml:space="preserve"> a</x:t>
        </x:r>
        <x:r>
          <x:rPr>
            <x:rFont val="돋움"/>
            <x:sz val="9"/>
            <x:color rgb="ff000000"/>
            <x:b val="1"/>
          </x:rPr>
          <x:t>값은</x:t>
        </x:r>
        <x:r>
          <x:rPr>
            <x:rFont val="Tahoma"/>
            <x:sz val="9"/>
            <x:color rgb="ff000000"/>
            <x:b val="1"/>
          </x:rPr>
          <x:t xml:space="preserve"> n-1</x:t>
        </x:r>
        <x:r>
          <x:rPr>
            <x:rFont val="돋움"/>
            <x:sz val="9"/>
            <x:color rgb="ff000000"/>
            <x:b val="1"/>
          </x:rPr>
          <x:t>년에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발표된</x:t>
        </x:r>
        <x:r>
          <x:rPr>
            <x:rFont val="Tahoma"/>
            <x:sz val="9"/>
            <x:color rgb="ff000000"/>
            <x:b val="1"/>
          </x:rPr>
          <x:t xml:space="preserve"> a</x:t>
        </x:r>
        <x:r>
          <x:rPr>
            <x:rFont val="돋움"/>
            <x:sz val="9"/>
            <x:color rgb="ff000000"/>
            <x:b val="1"/>
          </x:rPr>
          <x:t>값을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사용</x:t>
        </x:r>
        <x:r>
          <x:rPr>
            <x:rFont val="Tahoma"/>
            <x:sz val="9"/>
            <x:color rgb="ff000000"/>
            <x:b val="1"/>
          </x:rPr>
          <x:t>(</x:t>
        </x:r>
        <x:r>
          <x:rPr>
            <x:rFont val="돋움"/>
            <x:sz val="9"/>
            <x:color rgb="ff000000"/>
            <x:b val="1"/>
          </x:rPr>
          <x:t>즉</x:t>
        </x:r>
        <x:r>
          <x:rPr>
            <x:rFont val="Tahoma"/>
            <x:sz val="9"/>
            <x:color rgb="ff000000"/>
            <x:b val="1"/>
          </x:rPr>
          <x:t>, 26</x:t>
        </x:r>
        <x:r>
          <x:rPr>
            <x:rFont val="돋움"/>
            <x:sz val="9"/>
            <x:color rgb="ff000000"/>
            <x:b val="1"/>
          </x:rPr>
          <x:t>년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본인부담금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산정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활용하는</x:t>
        </x:r>
        <x:r>
          <x:rPr>
            <x:rFont val="Tahoma"/>
            <x:sz val="9"/>
            <x:color rgb="ff000000"/>
            <x:b val="1"/>
          </x:rPr>
          <x:t xml:space="preserve"> a</x:t>
        </x:r>
        <x:r>
          <x:rPr>
            <x:rFont val="돋움"/>
            <x:sz val="9"/>
            <x:color rgb="ff000000"/>
            <x:b val="1"/>
          </x:rPr>
          <x:t>값은</x:t>
        </x:r>
        <x:r>
          <x:rPr>
            <x:rFont val="Tahoma"/>
            <x:sz val="9"/>
            <x:color rgb="ff000000"/>
            <x:b val="1"/>
          </x:rPr>
          <x:t xml:space="preserve"> 25</x:t>
        </x:r>
        <x:r>
          <x:rPr>
            <x:rFont val="돋움"/>
            <x:sz val="9"/>
            <x:color rgb="ff000000"/>
            <x:b val="1"/>
          </x:rPr>
          <x:t>년에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발표된</x:t>
        </x:r>
        <x:r>
          <x:rPr>
            <x:rFont val="Tahoma"/>
            <x:sz val="9"/>
            <x:color rgb="ff000000"/>
            <x:b val="1"/>
          </x:rPr>
          <x:t xml:space="preserve"> a</x:t>
        </x:r>
        <x:r>
          <x:rPr>
            <x:rFont val="돋움"/>
            <x:sz val="9"/>
            <x:color rgb="ff000000"/>
            <x:b val="1"/>
          </x:rPr>
          <x:t>값임</x:t>
        </x:r>
        <x:r>
          <x:rPr>
            <x:rFont val="Tahoma"/>
            <x:sz val="9"/>
            <x:color rgb="ff000000"/>
            <x:b val="1"/>
          </x:rPr>
          <x:t xml:space="preserve">)
</x:t>
        </x:r>
        <x:r>
          <x:rPr>
            <x:rFont val="돋움"/>
            <x:sz val="9"/>
            <x:color rgb="ff000000"/>
            <x:b val="1"/>
          </x:rPr>
          <x:t>→</x:t>
        </x:r>
        <x:r>
          <x:rPr>
            <x:rFont val="Tahoma"/>
            <x:sz val="9"/>
            <x:color rgb="ff000000"/>
            <x:b val="1"/>
          </x:rPr>
          <x:t xml:space="preserve"> 23</x:t>
        </x:r>
        <x:r>
          <x:rPr>
            <x:rFont val="돋움"/>
            <x:sz val="9"/>
            <x:color rgb="ff000000"/>
            <x:b val="1"/>
          </x:rPr>
          <x:t>년</x:t>
        </x:r>
        <x:r>
          <x:rPr>
            <x:rFont val="Tahoma"/>
            <x:sz val="9"/>
            <x:color rgb="ff000000"/>
            <x:b val="1"/>
          </x:rPr>
          <x:t>(2,861,091</x:t>
        </x:r>
        <x:r>
          <x:rPr>
            <x:rFont val="돋움"/>
            <x:sz val="9"/>
            <x:color rgb="ff000000"/>
            <x:b val="1"/>
          </x:rPr>
          <x:t>원</x:t>
        </x:r>
        <x:r>
          <x:rPr>
            <x:rFont val="Tahoma"/>
            <x:sz val="9"/>
            <x:color rgb="ff000000"/>
            <x:b val="1"/>
          </x:rPr>
          <x:t>), 24</x:t>
        </x:r>
        <x:r>
          <x:rPr>
            <x:rFont val="돋움"/>
            <x:sz val="9"/>
            <x:color rgb="ff000000"/>
            <x:b val="1"/>
          </x:rPr>
          <x:t>년</x:t>
        </x:r>
        <x:r>
          <x:rPr>
            <x:rFont val="Tahoma"/>
            <x:sz val="9"/>
            <x:color rgb="ff000000"/>
            <x:b val="1"/>
          </x:rPr>
          <x:t>(2,989,237</x:t>
        </x:r>
        <x:r>
          <x:rPr>
            <x:rFont val="돋움"/>
            <x:sz val="9"/>
            <x:color rgb="ff000000"/>
            <x:b val="1"/>
          </x:rPr>
          <x:t>원</x:t>
        </x:r>
        <x:r>
          <x:rPr>
            <x:rFont val="Tahoma"/>
            <x:sz val="9"/>
            <x:color rgb="ff000000"/>
            <x:b val="1"/>
          </x:rPr>
          <x:t>), 25</x:t>
        </x:r>
        <x:r>
          <x:rPr>
            <x:rFont val="돋움"/>
            <x:sz val="9"/>
            <x:color rgb="ff000000"/>
            <x:b val="1"/>
          </x:rPr>
          <x:t>년</x:t>
        </x:r>
        <x:r>
          <x:rPr>
            <x:rFont val="Tahoma"/>
            <x:sz val="9"/>
            <x:color rgb="ff000000"/>
            <x:b val="1"/>
          </x:rPr>
          <x:t>(3,089,062</x:t>
        </x:r>
        <x:r>
          <x:rPr>
            <x:rFont val="돋움"/>
            <x:sz val="9"/>
            <x:color rgb="ff000000"/>
            <x:b val="1"/>
          </x:rPr>
          <x:t>원</x:t>
        </x:r>
        <x:r>
          <x:rPr>
            <x:rFont val="Tahoma"/>
            <x:sz val="9"/>
            <x:color rgb="ff000000"/>
            <x:b val="1"/>
          </x:rPr>
          <x:t>)</x:t>
        </x:r>
      </x:text>
    </x:comment>
    <x:comment ref="X4:X4" authorId="0">
      <x:text>
        <x:r>
          <x:rPr>
            <x:rFont val="돋움"/>
            <x:sz val="9"/>
            <x:color rgb="ff000000"/>
            <x:b val="1"/>
          </x:rPr>
          <x:t>활동지원급여비용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등에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관한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고시</x:t>
        </x:r>
        <x:r>
          <x:rPr>
            <x:rFont val="돋움"/>
            <x:sz val="9"/>
            <x:color rgb="ff000000"/>
          </x:rPr>
          <x:t>에서는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주간활동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기본형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시간</x:t>
        </x:r>
        <x:r>
          <x:rPr>
            <x:rFont val="Tahoma"/>
            <x:sz val="9"/>
            <x:color rgb="ff000000"/>
          </x:rPr>
          <x:t xml:space="preserve"> - 22</x:t>
        </x:r>
        <x:r>
          <x:rPr>
            <x:rFont val="돋움"/>
            <x:sz val="9"/>
            <x:color rgb="ff000000"/>
          </x:rPr>
          <x:t>시간</x:t>
        </x:r>
        <x:r>
          <x:rPr>
            <x:rFont val="Tahoma"/>
            <x:sz val="9"/>
            <x:color rgb="ff000000"/>
          </x:rPr>
          <x:t xml:space="preserve"> = </x:t>
        </x:r>
        <x:r>
          <x:rPr>
            <x:rFont val="돋움"/>
            <x:sz val="9"/>
            <x:color rgb="ff000000"/>
          </x:rPr>
          <x:t>주간할동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확장형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 xml:space="preserve">시간임
</x:t>
        </x:r>
        <x:r>
          <x:rPr>
            <x:rFont val="Tahoma"/>
            <x:sz val="9"/>
            <x:color rgb="ff000000"/>
          </x:rPr>
          <x:t>(</x:t>
        </x:r>
        <x:r>
          <x:rPr>
            <x:rFont val="돋움"/>
            <x:sz val="9"/>
            <x:color rgb="ff000000"/>
          </x:rPr>
          <x:t>기존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계산식</x:t>
        </x:r>
        <x:r>
          <x:rPr>
            <x:rFont val="Tahoma"/>
            <x:sz val="9"/>
            <x:color rgb="ff000000"/>
          </x:rPr>
          <x:t xml:space="preserve">) </x:t>
        </x:r>
        <x:r>
          <x:rPr>
            <x:rFont val="돋움"/>
            <x:sz val="9"/>
            <x:color rgb="ff000000"/>
          </x:rPr>
          <x:t>주간활동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확장형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시간</x:t>
        </x:r>
        <x:r>
          <x:rPr>
            <x:rFont val="Tahoma"/>
            <x:sz val="9"/>
            <x:color rgb="ff000000"/>
          </x:rPr>
          <x:t xml:space="preserve"> * N</x:t>
        </x:r>
        <x:r>
          <x:rPr>
            <x:rFont val="돋움"/>
            <x:sz val="9"/>
            <x:color rgb="ff000000"/>
          </x:rPr>
          <x:t>년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단가를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천원까지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 xml:space="preserve">올림
</x:t>
        </x:r>
        <x:r>
          <x:rPr>
            <x:rFont val="Tahoma"/>
            <x:sz val="9"/>
            <x:color rgb="ff000000"/>
          </x:rPr>
          <x:t>(</x:t>
        </x:r>
        <x:r>
          <x:rPr>
            <x:rFont val="돋움"/>
            <x:sz val="9"/>
            <x:color rgb="ff000000"/>
          </x:rPr>
          <x:t>보정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계산식</x:t>
        </x:r>
        <x:r>
          <x:rPr>
            <x:rFont val="Tahoma"/>
            <x:sz val="9"/>
            <x:color rgb="ff000000"/>
          </x:rPr>
          <x:t xml:space="preserve">) </x:t>
        </x:r>
        <x:r>
          <x:rPr>
            <x:rFont val="돋움"/>
            <x:sz val="9"/>
            <x:color rgb="ff000000"/>
          </x:rPr>
          <x:t>주간활동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기본형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단가</x:t>
        </x:r>
        <x:r>
          <x:rPr>
            <x:rFont val="Tahoma"/>
            <x:sz val="9"/>
            <x:color rgb="ff000000"/>
          </x:rPr>
          <x:t xml:space="preserve"> - 22</x:t>
        </x:r>
        <x:r>
          <x:rPr>
            <x:rFont val="돋움"/>
            <x:sz val="9"/>
            <x:color rgb="ff000000"/>
          </x:rPr>
          <x:t>시간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급여량</x:t>
        </x:r>
        <x:r>
          <x:rPr>
            <x:rFont val="Tahoma"/>
            <x:sz val="9"/>
            <x:color rgb="ff000000"/>
          </x:rPr>
          <x:t>(</x:t>
        </x:r>
        <x:r>
          <x:rPr>
            <x:rFont val="돋움"/>
            <x:sz val="9"/>
            <x:color rgb="ff000000"/>
          </x:rPr>
          <x:t>급여비용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고시에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따른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차이</x:t>
        </x:r>
        <x:r>
          <x:rPr>
            <x:rFont val="Tahoma"/>
            <x:sz val="9"/>
            <x:color rgb="ff000000"/>
          </x:rPr>
          <x:t xml:space="preserve">)
* </x:t>
        </x:r>
        <x:r>
          <x:rPr>
            <x:rFont val="돋움"/>
            <x:sz val="9"/>
            <x:color rgb="ff000000"/>
          </x:rPr>
          <x:t>즉</x:t>
        </x:r>
        <x:r>
          <x:rPr>
            <x:rFont val="Tahoma"/>
            <x:sz val="9"/>
            <x:color rgb="ff000000"/>
          </x:rPr>
          <x:t>, 25</x:t>
        </x:r>
        <x:r>
          <x:rPr>
            <x:rFont val="돋움"/>
            <x:sz val="9"/>
            <x:color rgb="ff000000"/>
          </x:rPr>
          <x:t>년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본인부담금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조견표에서는</x:t>
        </x:r>
        <x:r>
          <x:rPr>
            <x:rFont val="Tahoma"/>
            <x:sz val="9"/>
            <x:color rgb="ff000000"/>
          </x:rPr>
          <x:t xml:space="preserve"> 22</x:t>
        </x:r>
        <x:r>
          <x:rPr>
            <x:rFont val="돋움"/>
            <x:sz val="9"/>
            <x:color rgb="ff000000"/>
          </x:rPr>
          <x:t>시간</x:t>
        </x:r>
        <x:r>
          <x:rPr>
            <x:rFont val="Tahoma"/>
            <x:sz val="9"/>
            <x:color rgb="ff000000"/>
          </x:rPr>
          <x:t>*16,620</x:t>
        </x:r>
        <x:r>
          <x:rPr>
            <x:rFont val="돋움"/>
            <x:sz val="9"/>
            <x:color rgb="ff000000"/>
          </x:rPr>
          <x:t>원</x:t>
        </x:r>
        <x:r>
          <x:rPr>
            <x:rFont val="Tahoma"/>
            <x:sz val="9"/>
            <x:color rgb="ff000000"/>
          </x:rPr>
          <x:t>=365,640</x:t>
        </x:r>
        <x:r>
          <x:rPr>
            <x:rFont val="돋움"/>
            <x:sz val="9"/>
            <x:color rgb="ff000000"/>
          </x:rPr>
          <x:t>원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→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올림</x:t>
        </x:r>
        <x:r>
          <x:rPr>
            <x:rFont val="Tahoma"/>
            <x:sz val="9"/>
            <x:color rgb="ff000000"/>
          </x:rPr>
          <x:t>: 366,000</x:t>
        </x:r>
        <x:r>
          <x:rPr>
            <x:rFont val="돋움"/>
            <x:sz val="9"/>
            <x:color rgb="ff000000"/>
          </x:rPr>
          <x:t>원으로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계산했으나</x:t>
        </x:r>
        <x:r>
          <x:rPr>
            <x:rFont val="Tahoma"/>
            <x:sz val="9"/>
            <x:color rgb="ff000000"/>
          </x:rPr>
          <x:t xml:space="preserve">, </x:t>
        </x:r>
        <x:r>
          <x:rPr>
            <x:rFont val="돋움"/>
            <x:sz val="9"/>
            <x:color rgb="ff000000"/>
          </x:rPr>
          <x:t>공단에서는</x:t>
        </x:r>
        <x:r>
          <x:rPr>
            <x:rFont val="Tahoma"/>
            <x:sz val="9"/>
            <x:color rgb="ff000000"/>
          </x:rPr>
          <x:t xml:space="preserve"> 1,000,000</x:t>
        </x:r>
        <x:r>
          <x:rPr>
            <x:rFont val="돋움"/>
            <x:sz val="9"/>
            <x:color rgb="ff000000"/>
          </x:rPr>
          <x:t>원</x:t>
        </x:r>
        <x:r>
          <x:rPr>
            <x:rFont val="Tahoma"/>
            <x:sz val="9"/>
            <x:color rgb="ff000000"/>
          </x:rPr>
          <x:t>-635,000</x:t>
        </x:r>
        <x:r>
          <x:rPr>
            <x:rFont val="돋움"/>
            <x:sz val="9"/>
            <x:color rgb="ff000000"/>
          </x:rPr>
          <x:t>원</x:t>
        </x:r>
        <x:r>
          <x:rPr>
            <x:rFont val="Tahoma"/>
            <x:sz val="9"/>
            <x:color rgb="ff000000"/>
          </x:rPr>
          <x:t>(</x:t>
        </x:r>
        <x:r>
          <x:rPr>
            <x:rFont val="돋움"/>
            <x:sz val="9"/>
            <x:color rgb="ff000000"/>
          </x:rPr>
          <x:t>구간별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기본형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급여량</x:t>
        </x:r>
        <x:r>
          <x:rPr>
            <x:rFont val="Tahoma"/>
            <x:sz val="9"/>
            <x:color rgb="ff000000"/>
          </x:rPr>
          <x:t xml:space="preserve"> - </x:t>
        </x:r>
        <x:r>
          <x:rPr>
            <x:rFont val="돋움"/>
            <x:sz val="9"/>
            <x:color rgb="ff000000"/>
          </x:rPr>
          <x:t>확장형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급여량</x:t>
        </x:r>
        <x:r>
          <x:rPr>
            <x:rFont val="Tahoma"/>
            <x:sz val="9"/>
            <x:color rgb="ff000000"/>
          </x:rPr>
          <x:t>)=365,000</x:t>
        </x:r>
        <x:r>
          <x:rPr>
            <x:rFont val="돋움"/>
            <x:sz val="9"/>
            <x:color rgb="ff000000"/>
          </x:rPr>
          <x:t>원으로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적용한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 xml:space="preserve">것임
</x:t>
        </x:r>
        <x:r>
          <x:rPr>
            <x:rFont val="Tahoma"/>
            <x:sz val="9"/>
            <x:color rgb="ff000000"/>
          </x:rPr>
          <x:t xml:space="preserve">** </x:t>
        </x:r>
        <x:r>
          <x:rPr>
            <x:rFont val="돋움"/>
            <x:sz val="9"/>
            <x:color rgb="ff000000"/>
          </x:rPr>
          <x:t>따라서</x:t>
        </x:r>
        <x:r>
          <x:rPr>
            <x:rFont val="Tahoma"/>
            <x:sz val="9"/>
            <x:color rgb="ff000000"/>
          </x:rPr>
          <x:t xml:space="preserve"> 26</x:t>
        </x:r>
        <x:r>
          <x:rPr>
            <x:rFont val="돋움"/>
            <x:sz val="9"/>
            <x:color rgb="ff000000"/>
          </x:rPr>
          <x:t>년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본인부담금</x:t>
        </x:r>
        <x:r>
          <x:rPr>
            <x:rFont val="Tahoma"/>
            <x:sz val="9"/>
            <x:color rgb="ff000000"/>
          </x:rPr>
          <x:t xml:space="preserve"> </x:t>
        </x:r>
        <x:r>
          <x:rPr>
            <x:rFont val="돋움"/>
            <x:sz val="9"/>
            <x:color rgb="ff000000"/>
          </x:rPr>
          <x:t>조견표에서는</x:t>
        </x:r>
        <x:r>
          <x:rPr>
            <x:rFont val="Tahoma"/>
            <x:sz val="9"/>
            <x:color rgb="ff000000"/>
          </x:rPr>
          <x:t xml:space="preserve"> 1,040,000</x:t>
        </x:r>
        <x:r>
          <x:rPr>
            <x:rFont val="돋움"/>
            <x:sz val="9"/>
            <x:color rgb="ff000000"/>
          </x:rPr>
          <x:t>원</x:t>
        </x:r>
        <x:r>
          <x:rPr>
            <x:rFont val="Tahoma"/>
            <x:sz val="9"/>
            <x:color rgb="ff000000"/>
          </x:rPr>
          <x:t>-661,000</x:t>
        </x:r>
        <x:r>
          <x:rPr>
            <x:rFont val="돋움"/>
            <x:sz val="9"/>
            <x:color rgb="ff000000"/>
          </x:rPr>
          <x:t>원</x:t>
        </x:r>
        <x:r>
          <x:rPr>
            <x:rFont val="Tahoma"/>
            <x:sz val="9"/>
            <x:color rgb="ff000000"/>
          </x:rPr>
          <x:t>=379,000</x:t>
        </x:r>
        <x:r>
          <x:rPr>
            <x:rFont val="돋움"/>
            <x:sz val="9"/>
            <x:color rgb="ff000000"/>
          </x:rPr>
          <x:t>원</x:t>
        </x:r>
      </x:text>
    </x:comment>
    <x:comment ref="C2:C2" authorId="0">
      <x:text>
        <x:r>
          <x:rPr>
            <x:rFont val="돋움"/>
            <x:sz val="9"/>
            <x:color rgb="ff000000"/>
            <x:b val="1"/>
          </x:rPr>
          <x:t>활동지원급여비용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등에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관한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고시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LG</x:author>
  </x:authors>
  <x:commentList>
    <x:comment ref="B14:B14" authorId="0">
      <x:text>
        <x:r>
          <x:rPr>
            <x:rFont val="돋움"/>
            <x:sz val="9"/>
            <x:color rgb="ff000000"/>
            <x:b val="1"/>
          </x:rPr>
          <x:t>활동지원급여비용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등에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관한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고시</x:t>
        </x:r>
      </x:text>
    </x:comment>
    <x:comment ref="B2:B2" authorId="0">
      <x:text>
        <x:r>
          <x:rPr>
            <x:rFont val="돋움"/>
            <x:sz val="9"/>
            <x:color rgb="ff000000"/>
            <x:b val="1"/>
          </x:rPr>
          <x:t>활동지원급여비용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등에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관한</x:t>
        </x:r>
        <x:r>
          <x:rPr>
            <x:rFont val="Tahoma"/>
            <x:sz val="9"/>
            <x:color rgb="ff000000"/>
            <x:b val="1"/>
          </x:rPr>
          <x:t xml:space="preserve"> </x:t>
        </x:r>
        <x:r>
          <x:rPr>
            <x:rFont val="돋움"/>
            <x:sz val="9"/>
            <x:color rgb="ff000000"/>
            <x:b val="1"/>
          </x:rPr>
          <x:t>고시</x:t>
        </x:r>
        <x:r>
          <x:rPr>
            <x:rFont val="Tahoma"/>
            <x:sz val="9"/>
            <x:color rgb="ff000000"/>
          </x:rPr>
          <x:t xml:space="preserve">
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<x:sst xmlns:r="http://schemas.openxmlformats.org/officeDocument/2006/relationships" xmlns:c="http://schemas.openxmlformats.org/drawingml/2006/chart" xmlns:x="http://schemas.openxmlformats.org/spreadsheetml/2006/main" count="1057" uniqueCount="110">
  <x:si>
    <x:t>나머지가구구성원의직장생활등</x:t>
  </x:si>
  <x:si>
    <x:t>기준중위소득
180% 이하</x:t>
  </x:si>
  <x:si>
    <x:t>기준중위소득
120% 이하</x:t>
  </x:si>
  <x:si>
    <x:t>기준중위소득
70% 이하</x:t>
  </x:si>
  <x:si>
    <x:t>기준중위소득
180% 초과</x:t>
  </x:si>
  <x:si>
    <x:t>-</x:t>
  </x:si>
  <x:si>
    <x:t>o</x:t>
  </x:si>
  <x:si>
    <x:t>출산</x:t>
  </x:si>
  <x:si>
    <x:t>기존</x:t>
  </x:si>
  <x:si>
    <x:t>월 한도액</x:t>
  </x:si>
  <x:si>
    <x:t>기본단가</x:t>
  </x:si>
  <x:si>
    <x:t>학교생활</x:t>
  </x:si>
  <x:si>
    <x:t>가족지원</x:t>
  </x:si>
  <x:si>
    <x:t>본인부담금</x:t>
  </x:si>
  <x:si>
    <x:t>주간활동</x:t>
  </x:si>
  <x:si>
    <x:t>50% 이하</x:t>
  </x:si>
  <x:si>
    <x:t>활동지원등급</x:t>
  </x:si>
  <x:si>
    <x:t>150% 이하</x:t>
  </x:si>
  <x:si>
    <x:t>&lt;본인부담금&gt;</x:t>
  </x:si>
  <x:si>
    <x:t>가족급여</x:t>
  </x:si>
  <x:si>
    <x:t>150% 초과</x:t>
  </x:si>
  <x:si>
    <x:t>작년단가</x:t>
  </x:si>
  <x:si>
    <x:t>기본 부담률</x:t>
  </x:si>
  <x:si>
    <x:t>추가 부담률</x:t>
  </x:si>
  <x:si>
    <x:t>지원시간</x:t>
  </x:si>
  <x:si>
    <x:t>100% 이하</x:t>
  </x:si>
  <x:si>
    <x:t>2025 A값</x:t>
  </x:si>
  <x:si>
    <x:r>
      <x:t>14</x:t>
    </x:r>
    <x:r>
      <x:rPr>
        <x:rFont val="맑은 고딕"/>
        <x:sz val="10"/>
        <x:color rgb="ff000000"/>
      </x:rPr>
      <x:t>등급</x:t>
    </x:r>
  </x:si>
  <x:si>
    <x:r>
      <x:t>13</x:t>
    </x:r>
    <x:r>
      <x:rPr>
        <x:rFont val="맑은 고딕"/>
        <x:sz val="10"/>
        <x:color rgb="ff000000"/>
      </x:rPr>
      <x:t>등급</x:t>
    </x:r>
  </x:si>
  <x:si>
    <x:r>
      <x:t>12</x:t>
    </x:r>
    <x:r>
      <x:rPr>
        <x:rFont val="맑은 고딕"/>
        <x:sz val="10"/>
        <x:color rgb="ff000000"/>
      </x:rPr>
      <x:t>등급</x:t>
    </x:r>
  </x:si>
  <x:si>
    <x:r>
      <x:t>15</x:t>
    </x:r>
    <x:r>
      <x:rPr>
        <x:rFont val="맑은 고딕"/>
        <x:sz val="10"/>
        <x:color rgb="ff000000"/>
      </x:rPr>
      <x:t>등급</x:t>
    </x:r>
  </x:si>
  <x:si>
    <x:r>
      <x:t>180%</x:t>
    </x:r>
    <x:r>
      <x:rPr>
        <x:rFont val="맑은 고딕"/>
        <x:sz val="10"/>
        <x:color rgb="ff000000"/>
      </x:rPr>
      <x:t>초과</x:t>
    </x:r>
  </x:si>
  <x:si>
    <x:r>
      <x:t>120%</x:t>
    </x:r>
    <x:r>
      <x:rPr>
        <x:rFont val="맑은 고딕"/>
        <x:sz val="10"/>
        <x:color rgb="ff000000"/>
      </x:rPr>
      <x:t>이하</x:t>
    </x:r>
  </x:si>
  <x:si>
    <x:r>
      <x:t>10</x:t>
    </x:r>
    <x:r>
      <x:rPr>
        <x:rFont val="맑은 고딕"/>
        <x:sz val="10"/>
        <x:color rgb="ff000000"/>
      </x:rPr>
      <x:t>등급</x:t>
    </x:r>
  </x:si>
  <x:si>
    <x:r>
      <x:t>70%</x:t>
    </x:r>
    <x:r>
      <x:rPr>
        <x:rFont val="맑은 고딕"/>
        <x:sz val="10"/>
        <x:color rgb="ff000000"/>
      </x:rPr>
      <x:t>이하</x:t>
    </x:r>
  </x:si>
  <x:si>
    <x:r>
      <x:t>11</x:t>
    </x:r>
    <x:r>
      <x:rPr>
        <x:rFont val="맑은 고딕"/>
        <x:sz val="10"/>
        <x:color rgb="ff000000"/>
      </x:rPr>
      <x:t>등급</x:t>
    </x:r>
  </x:si>
  <x:si>
    <x:r>
      <x:t>180%</x:t>
    </x:r>
    <x:r>
      <x:rPr>
        <x:rFont val="맑은 고딕"/>
        <x:sz val="10"/>
        <x:color rgb="ff000000"/>
      </x:rPr>
      <x:t>이하</x:t>
    </x:r>
  </x:si>
  <x:si>
    <x:t>주간활동 본인부담금(기본형)</x:t>
  </x:si>
  <x:si>
    <x:t>2등급이하취약가구, 학교생활</x:t>
  </x:si>
  <x:si>
    <x:t>&lt;추가급여 월 한도액&gt;</x:t>
  </x:si>
  <x:si>
    <x:t>2등급이하1인가구, 자립준비</x:t>
  </x:si>
  <x:si>
    <x:t>주간활동 본인부담금(확장형)</x:t>
  </x:si>
  <x:si>
    <x:t>학교생활, 보호자일시부재</x:t>
  </x:si>
  <x:si>
    <x:t>2등급이하취약가구, 자립준비</x:t>
  </x:si>
  <x:si>
    <x:t>&lt;기본급여 월 한도액&gt;</x:t>
  </x:si>
  <x:si>
    <x:t>2등급이하1인가구, 학교생활</x:t>
  </x:si>
  <x:si>
    <x:t xml:space="preserve">○ 급여 종류별 조합 : 60종 / 급여금액별 조합 : 40종    ○ 소득 적용 시 최대 나올 수 있는 급여구간 : 2,160개 = 60(급여종류별 조합) * 2(가족급여) * 3(주간활동) * 6(소득) </x:t>
  </x:si>
  <x:si>
    <x:t>기존-56시간,
변경-22시간</x:t>
  </x:si>
  <x:si>
    <x:t>작년 월 한도액</x:t>
  </x:si>
  <x:si>
    <x:t>(본인부담금 상한액)</x:t>
  </x:si>
  <x:si>
    <x:t>2등급이하1인가구</x:t>
  </x:si>
  <x:si>
    <x:t>가족급여 본인부담금</x:t>
  </x:si>
  <x:si>
    <x:t>2등급이하취약가구</x:t>
  </x:si>
  <x:si>
    <x:t>학교생활, 자립준비</x:t>
  </x:si>
  <x:si>
    <x:t>주간활동
(기본형)</x:t>
  </x:si>
  <x:si>
    <x:t>전국가구평균소득</x:t>
  </x:si>
  <x:si>
    <x:t>주간활동
(확장형)</x:t>
  </x:si>
  <x:si>
    <x:t>차상위</x:t>
  </x:si>
  <x:si>
    <x:t>기초</x:t>
  </x:si>
  <x:si>
    <x:t>3등급</x:t>
  </x:si>
  <x:si>
    <x:t>면제</x:t>
  </x:si>
  <x:si>
    <x:t>부담률</x:t>
  </x:si>
  <x:si>
    <x:t>2등급</x:t>
  </x:si>
  <x:si>
    <x:t>특례</x:t>
  </x:si>
  <x:si>
    <x:t>1등급</x:t>
  </x:si>
  <x:si>
    <x:t>기본</x:t>
  </x:si>
  <x:si>
    <x:t>4등급</x:t>
  </x:si>
  <x:si>
    <x:t>구분</x:t>
  </x:si>
  <x:si>
    <x:r>
      <x:t>4</x:t>
    </x:r>
    <x:r>
      <x:rPr>
        <x:rFont val="맑은 고딕"/>
        <x:sz val="10"/>
        <x:color rgb="ff000000"/>
      </x:rPr>
      <x:t>등급</x:t>
    </x:r>
  </x:si>
  <x:si>
    <x:r>
      <x:t>3</x:t>
    </x:r>
    <x:r>
      <x:rPr>
        <x:rFont val="맑은 고딕"/>
        <x:sz val="10"/>
        <x:color rgb="ff000000"/>
      </x:rPr>
      <x:t>등급</x:t>
    </x:r>
  </x:si>
  <x:si>
    <x:r>
      <x:t>2</x:t>
    </x:r>
    <x:r>
      <x:rPr>
        <x:rFont val="맑은 고딕"/>
        <x:sz val="10"/>
        <x:color rgb="ff000000"/>
      </x:rPr>
      <x:t>등급</x:t>
    </x:r>
  </x:si>
  <x:si>
    <x:r>
      <x:t>9</x:t>
    </x:r>
    <x:r>
      <x:rPr>
        <x:rFont val="맑은 고딕"/>
        <x:sz val="10"/>
        <x:color rgb="ff000000"/>
      </x:rPr>
      <x:t>등급</x:t>
    </x:r>
  </x:si>
  <x:si>
    <x:r>
      <x:t>1</x:t>
    </x:r>
    <x:r>
      <x:rPr>
        <x:rFont val="맑은 고딕"/>
        <x:sz val="10"/>
        <x:color rgb="ff000000"/>
      </x:rPr>
      <x:t>등급</x:t>
    </x:r>
  </x:si>
  <x:si>
    <x:r>
      <x:t>8</x:t>
    </x:r>
    <x:r>
      <x:rPr>
        <x:rFont val="맑은 고딕"/>
        <x:sz val="10"/>
        <x:color rgb="ff000000"/>
      </x:rPr>
      <x:t>등급</x:t>
    </x:r>
  </x:si>
  <x:si>
    <x:r>
      <x:t>7</x:t>
    </x:r>
    <x:r>
      <x:rPr>
        <x:rFont val="맑은 고딕"/>
        <x:sz val="10"/>
        <x:color rgb="ff000000"/>
      </x:rPr>
      <x:t>등급</x:t>
    </x:r>
  </x:si>
  <x:si>
    <x:r>
      <x:t>6</x:t>
    </x:r>
    <x:r>
      <x:rPr>
        <x:rFont val="맑은 고딕"/>
        <x:sz val="10"/>
        <x:color rgb="ff000000"/>
      </x:rPr>
      <x:t>등급</x:t>
    </x:r>
  </x:si>
  <x:si>
    <x:r>
      <x:t>5</x:t>
    </x:r>
    <x:r>
      <x:rPr>
        <x:rFont val="맑은 고딕"/>
        <x:sz val="10"/>
        <x:color rgb="ff000000"/>
      </x:rPr>
      <x:t>등급</x:t>
    </x:r>
  </x:si>
  <x:si>
    <x:t>주간활동 가족급여 본인부담금(기본형)</x:t>
  </x:si>
  <x:si>
    <x:t>주간활동 가족급여 본인부담금(확장형)</x:t>
  </x:si>
  <x:si>
    <x:t>2등급이하1인가구, 보호자일시부재</x:t>
  </x:si>
  <x:si>
    <x:t>2등급이하취약가구, 보호자일시부재</x:t>
  </x:si>
  <x:si>
    <x:t>※ 추가급여 중 특별지원급여 3종(출산, 자립준비, 보호자일시부재) 제외</x:t>
  </x:si>
  <x:si>
    <x:t>확장형(시간/금액)</x:t>
  </x:si>
  <x:si>
    <x:t>&lt;가족급여 급여비용&gt;</x:t>
  </x:si>
  <x:si>
    <x:t>&lt;주간활동 급여비용&gt;</x:t>
  </x:si>
  <x:si>
    <x:t>main 추가급여</x:t>
  </x:si>
  <x:si>
    <x:t>주간활동(확장형)</x:t>
  </x:si>
  <x:si>
    <x:t>기본형(시간/금액)</x:t>
  </x:si>
  <x:si>
    <x:t>주간활동(기본형)</x:t>
  </x:si>
  <x:si>
    <x:t>최중증1인가구</x:t>
  </x:si>
  <x:si>
    <x:t>1등급취약가구</x:t>
  </x:si>
  <x:si>
    <x:t>기타 추가급여</x:t>
  </x:si>
  <x:si>
    <x:t>&lt;경우의 수&gt;</x:t>
  </x:si>
  <x:si>
    <x:t>보호자일시부재</x:t>
  </x:si>
  <x:si>
    <x:t>기본급여</x:t>
  </x:si>
  <x:si>
    <x:t>120이하</x:t>
  </x:si>
  <x:si>
    <x:t>180이하</x:t>
  </x:si>
  <x:si>
    <x:t>180초과</x:t>
  </x:si>
  <x:si>
    <x:t>22시간</x:t>
  </x:si>
  <x:si>
    <x:t>직장생활</x:t>
  </x:si>
  <x:si>
    <x:t>자립준비</x:t>
  </x:si>
  <x:si>
    <x:t>&lt;지원시간&gt;</x:t>
  </x:si>
  <x:si>
    <x:t xml:space="preserve">주간활동 </x:t>
  </x:si>
  <x:si>
    <x:t>70이하</x:t>
  </x:si>
  <x:si>
    <x:t>최중증취약가구</x:t>
  </x:si>
  <x:si>
    <x:t>1등급1인가구</x:t>
  </x:si>
  <x:si>
    <x:t>차감없음</x:t>
  </x:si>
  <x:si>
    <x:t>활동지원급여 산정특례 인정급여 및 본인부담금 조견표</x:t>
  </x:si>
  <x:si>
    <x:t>주간활동 확장형</x:t>
  </x:si>
  <x:si>
    <x:t>주간활동 기본형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</x:si>
</x:sst>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3">
    <x:numFmt numFmtId="164" formatCode="_-* #,##0_-;\-* #,##0_-;_-* &quot;-&quot;??_-;_-@_-"/>
    <x:numFmt numFmtId="165" formatCode="#,##0_);[Red]\(#,##0\)"/>
    <x:numFmt numFmtId="166" formatCode="#,##0_ "/>
  </x:numFmts>
  <x:fonts count="30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0"/>
      <x:color rgb="ff000000"/>
    </x:font>
    <x:font>
      <x:name val="휴먼명조"/>
      <x:sz val="10"/>
      <x:color rgb="ff000000"/>
    </x:font>
    <x:font>
      <x:name val="휴먼명조"/>
      <x:sz val="10"/>
      <x:color rgb="ffff0000"/>
    </x:font>
    <x:font>
      <x:name val="맑은 고딕"/>
      <x:sz val="11"/>
      <x:color rgb="ff000000"/>
      <x:b val="1"/>
    </x:font>
    <x:font>
      <x:name val="맑은 고딕"/>
      <x:sz val="11"/>
      <x:color rgb="ffff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6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6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2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2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0d0d0d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0d0d0d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3"/>
          <x:color rgb="ff0000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3"/>
          <x:color rgb="ff0000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3"/>
          <x:color rgb="ff595959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3"/>
          <x:color rgb="ff595959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3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3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5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5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Tahoma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Tahoma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Tahoma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Tahoma"/>
          <x:sz val="9"/>
          <x:color rgb="ff000000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000000"/>
        <x:bgColor indexed="64"/>
      </x:patternFill>
    </x:fill>
    <x:fill>
      <x:patternFill patternType="solid">
        <x:fgColor rgb="ffdbeef3"/>
        <x:bgColor indexed="64"/>
      </x:patternFill>
    </x:fill>
    <x:fill>
      <x:patternFill patternType="solid">
        <x:fgColor rgb="ffd9d9d9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e6e0ed"/>
        <x:bgColor indexed="64"/>
      </x:patternFill>
    </x:fill>
    <x:fill>
      <x:patternFill patternType="solid">
        <x:fgColor rgb="fff3dcdb"/>
        <x:bgColor indexed="64"/>
      </x:patternFill>
    </x:fill>
    <x:fill>
      <x:patternFill patternType="solid">
        <x:fgColor rgb="ff808080"/>
        <x:bgColor indexed="64"/>
      </x:patternFill>
    </x:fill>
  </x:fills>
  <x:borders count="8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rgb="ffff0000"/>
      </x:right>
      <x:top style="thin">
        <x:color auto="1"/>
      </x:top>
      <x:bottom style="thin">
        <x:color auto="1"/>
      </x:bottom>
    </x:border>
    <x:border>
      <x:left style="medium">
        <x:color rgb="ffff0000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double">
        <x:color rgb="ff000000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double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thin">
        <x:color auto="1"/>
      </x:bottom>
    </x:border>
    <x:border>
      <x:left style="medium">
        <x:color rgb="ffff0000"/>
      </x:left>
      <x:right style="thin">
        <x:color auto="1"/>
      </x:right>
      <x:top style="thin">
        <x:color auto="1"/>
      </x:top>
      <x:bottom style="medium">
        <x:color rgb="ffff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rgb="ffff0000"/>
      </x:bottom>
    </x:border>
    <x:border>
      <x:left style="thin">
        <x:color auto="1"/>
      </x:left>
      <x:right style="medium">
        <x:color rgb="ffff0000"/>
      </x:right>
      <x:top style="thin">
        <x:color auto="1"/>
      </x:top>
      <x:bottom style="medium">
        <x:color rgb="ffff0000"/>
      </x:bottom>
    </x:border>
    <x:border>
      <x:left style="double">
        <x:color rgb="ff000000"/>
      </x:left>
      <x:right style="thin">
        <x:color auto="1"/>
      </x:right>
      <x:top style="thin">
        <x:color auto="1"/>
      </x:top>
      <x:bottom style="medium">
        <x:color rgb="ffff0000"/>
      </x:bottom>
    </x:border>
    <x:border>
      <x:left style="double">
        <x:color auto="1"/>
      </x:left>
      <x:right style="thin">
        <x:color auto="1"/>
      </x:right>
      <x:top style="thin">
        <x:color auto="1"/>
      </x:top>
      <x:bottom style="medium">
        <x:color rgb="ffff0000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rgb="ffff000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rgb="ffff0000"/>
      </x:bottom>
    </x:border>
    <x:border>
      <x:left style="medium">
        <x:color rgb="ffff0000"/>
      </x:left>
      <x:right style="thin">
        <x:color rgb="ff000000"/>
      </x:right>
      <x:top style="thin">
        <x:color rgb="ff000000"/>
      </x:top>
      <x:bottom style="medium">
        <x:color rgb="ffff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ff0000"/>
      </x:bottom>
    </x:border>
    <x:border>
      <x:left style="thin">
        <x:color rgb="ff000000"/>
      </x:left>
      <x:right style="medium">
        <x:color rgb="ffff0000"/>
      </x:right>
      <x:top style="thin">
        <x:color rgb="ff000000"/>
      </x:top>
      <x:bottom style="medium">
        <x:color rgb="ffff0000"/>
      </x:bottom>
    </x:border>
    <x:border>
      <x:left style="medium">
        <x:color rgb="ffff0000"/>
      </x:left>
      <x:right style="thin">
        <x:color auto="1"/>
      </x:right>
      <x:top>
        <x:color auto="1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000000"/>
      </x:bottom>
    </x:border>
    <x:border>
      <x:left style="medium">
        <x:color rgb="ffff0000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 style="medium">
        <x:color rgb="ffff0000"/>
      </x:right>
      <x:top>
        <x:color auto="1"/>
      </x:top>
      <x:bottom style="thin">
        <x:color rgb="ff000000"/>
      </x:bottom>
    </x:border>
    <x:border>
      <x:left style="double">
        <x:color rgb="ff000000"/>
      </x:left>
      <x:right style="thin">
        <x:color auto="1"/>
      </x:right>
      <x:top>
        <x:color auto="1"/>
      </x:top>
      <x:bottom style="thin">
        <x:color rgb="ff000000"/>
      </x:bottom>
    </x:border>
    <x:border>
      <x:left style="double">
        <x:color auto="1"/>
      </x:left>
      <x:right style="thin">
        <x:color auto="1"/>
      </x:right>
      <x:top>
        <x:color auto="1"/>
      </x:top>
      <x:bottom style="thin">
        <x:color rgb="ff000000"/>
      </x:bottom>
    </x:border>
    <x:border>
      <x:left style="thin">
        <x:color auto="1"/>
      </x:left>
      <x:right style="double"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 style="thin">
        <x:color auto="1"/>
      </x:right>
      <x:top>
        <x:color auto="1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>
        <x:color auto="1"/>
      </x:top>
      <x:bottom style="thin">
        <x:color auto="1"/>
      </x:bottom>
    </x:border>
    <x:border>
      <x:left style="thin">
        <x:color auto="1"/>
      </x:left>
      <x:right style="medium">
        <x:color rgb="ffff0000"/>
      </x:right>
      <x:top>
        <x:color auto="1"/>
      </x:top>
      <x:bottom style="thin">
        <x:color rgb="ff000000"/>
      </x:bottom>
    </x:border>
    <x:border>
      <x:left style="medium">
        <x:color rgb="ffff0000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medium">
        <x:color rgb="ffff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ff0000"/>
      </x:right>
      <x:top style="thin">
        <x:color rgb="ff000000"/>
      </x:top>
      <x:bottom style="thin">
        <x:color rgb="ff000000"/>
      </x:bottom>
    </x:border>
    <x:border>
      <x:left style="double">
        <x:color rgb="ff000000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 style="double">
        <x:color auto="1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double"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medium">
        <x:color rgb="ffff0000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medium">
        <x:color rgb="ffff0000"/>
      </x:right>
      <x:top>
        <x:color auto="1"/>
      </x:top>
      <x:bottom style="thin">
        <x:color auto="1"/>
      </x:bottom>
    </x:border>
    <x:border>
      <x:left style="medium">
        <x:color rgb="ffff0000"/>
      </x:left>
      <x:right>
        <x:color auto="1"/>
      </x:right>
      <x:top style="medium">
        <x:color rgb="ffff0000"/>
      </x:top>
      <x:bottom>
        <x:color auto="1"/>
      </x:bottom>
    </x:border>
    <x:border>
      <x:left>
        <x:color auto="1"/>
      </x:left>
      <x:right>
        <x:color auto="1"/>
      </x:right>
      <x:top style="medium">
        <x:color rgb="ffff0000"/>
      </x:top>
      <x:bottom>
        <x:color auto="1"/>
      </x:bottom>
    </x:border>
    <x:border>
      <x:left>
        <x:color auto="1"/>
      </x:left>
      <x:right style="medium">
        <x:color rgb="ffff0000"/>
      </x:right>
      <x:top style="medium">
        <x:color rgb="ffff0000"/>
      </x:top>
      <x:bottom>
        <x:color auto="1"/>
      </x:bottom>
    </x:border>
    <x:border>
      <x:left style="medium">
        <x:color rgb="ffff0000"/>
      </x:left>
      <x:right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 style="thin">
        <x:color auto="1"/>
      </x:right>
      <x:top style="medium">
        <x:color rgb="ffff0000"/>
      </x:top>
      <x:bottom>
        <x:color auto="1"/>
      </x:bottom>
    </x:border>
    <x:border>
      <x:left style="thin">
        <x:color auto="1"/>
      </x:left>
      <x:right style="thin"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 style="medium">
        <x:color rgb="ffff0000"/>
      </x:right>
      <x:top style="medium">
        <x:color rgb="ffff0000"/>
      </x:top>
      <x:bottom>
        <x:color auto="1"/>
      </x:bottom>
    </x:border>
    <x:border>
      <x:left style="thin">
        <x:color auto="1"/>
      </x:left>
      <x:right style="thin">
        <x:color auto="1"/>
      </x:right>
      <x:top style="medium">
        <x:color rgb="ffff0000"/>
      </x:top>
      <x:bottom style="thin">
        <x:color auto="1"/>
      </x:bottom>
    </x:border>
    <x:border>
      <x:left style="thin">
        <x:color auto="1"/>
      </x:left>
      <x:right style="medium">
        <x:color rgb="ffff0000"/>
      </x:right>
      <x:top style="medium">
        <x:color rgb="ffff0000"/>
      </x:top>
      <x:bottom style="thin">
        <x:color auto="1"/>
      </x:bottom>
    </x:border>
    <x:border>
      <x:left style="medium">
        <x:color rgb="ffff0000"/>
      </x:left>
      <x:right>
        <x:color auto="1"/>
      </x:right>
      <x:top style="medium">
        <x:color rgb="ffff0000"/>
      </x:top>
      <x:bottom style="thin">
        <x:color auto="1"/>
      </x:bottom>
    </x:border>
    <x:border>
      <x:left>
        <x:color auto="1"/>
      </x:left>
      <x:right>
        <x:color auto="1"/>
      </x:right>
      <x:top style="medium">
        <x:color rgb="ffff0000"/>
      </x:top>
      <x:bottom style="thin">
        <x:color auto="1"/>
      </x:bottom>
    </x:border>
    <x:border>
      <x:left>
        <x:color auto="1"/>
      </x:left>
      <x:right style="medium">
        <x:color rgb="ffff0000"/>
      </x:right>
      <x:top style="medium">
        <x:color rgb="ffff0000"/>
      </x:top>
      <x:bottom style="thin">
        <x:color auto="1"/>
      </x:bottom>
    </x:border>
    <x:border>
      <x:left style="double">
        <x:color rgb="ff000000"/>
      </x:left>
      <x:right>
        <x:color auto="1"/>
      </x:right>
      <x:top style="medium">
        <x:color rgb="ffff0000"/>
      </x:top>
      <x:bottom style="thin">
        <x:color auto="1"/>
      </x:bottom>
    </x:border>
    <x:border>
      <x:left>
        <x:color auto="1"/>
      </x:left>
      <x:right style="double">
        <x:color auto="1"/>
      </x:right>
      <x:top style="medium">
        <x:color rgb="ffff0000"/>
      </x:top>
      <x:bottom style="thin">
        <x:color auto="1"/>
      </x:bottom>
    </x:border>
    <x:border>
      <x:left style="double">
        <x:color auto="1"/>
      </x:left>
      <x:right>
        <x:color auto="1"/>
      </x:right>
      <x:top style="medium">
        <x:color rgb="ffff0000"/>
      </x:top>
      <x:bottom style="thin">
        <x:color auto="1"/>
      </x:bottom>
    </x:border>
    <x:border>
      <x:left style="double">
        <x:color auto="1"/>
      </x:left>
      <x:right style="thin">
        <x:color auto="1"/>
      </x:right>
      <x:top style="medium">
        <x:color rgb="ffff0000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medium">
        <x:color rgb="ffff0000"/>
      </x:top>
      <x:bottom style="thin">
        <x:color auto="1"/>
      </x:bottom>
    </x:border>
    <x:border>
      <x:left>
        <x:color auto="1"/>
      </x:left>
      <x:right style="thin">
        <x:color auto="1"/>
      </x:right>
      <x:top style="medium">
        <x:color rgb="ffff0000"/>
      </x:top>
      <x:bottom style="thin">
        <x:color auto="1"/>
      </x:bottom>
    </x:border>
    <x:border>
      <x:left style="medium">
        <x:color rgb="ffff0000"/>
      </x:left>
      <x:right>
        <x:color auto="1"/>
      </x:right>
      <x:top style="medium">
        <x:color rgb="ffff0000"/>
      </x:top>
      <x:bottom style="medium">
        <x:color rgb="ffff0000"/>
      </x:bottom>
    </x:border>
    <x:border>
      <x:left>
        <x:color auto="1"/>
      </x:left>
      <x:right>
        <x:color auto="1"/>
      </x:right>
      <x:top style="medium">
        <x:color rgb="ffff0000"/>
      </x:top>
      <x:bottom style="medium">
        <x:color rgb="ffff0000"/>
      </x:bottom>
    </x:border>
    <x:border>
      <x:left>
        <x:color auto="1"/>
      </x:left>
      <x:right style="medium">
        <x:color rgb="ffff0000"/>
      </x:right>
      <x:top style="medium">
        <x:color rgb="ffff0000"/>
      </x:top>
      <x:bottom style="medium">
        <x:color rgb="ffff0000"/>
      </x:bottom>
    </x:border>
    <x:border>
      <x:left style="thin">
        <x:color auto="1"/>
      </x:left>
      <x:right style="medium">
        <x:color rgb="ffff0000"/>
      </x:right>
      <x:top style="thin">
        <x:color auto="1"/>
      </x:top>
      <x:bottom>
        <x:color auto="1"/>
      </x:bottom>
    </x:border>
    <x:border>
      <x:left style="medium">
        <x:color rgb="ffff0000"/>
      </x:left>
      <x:right>
        <x:color auto="1"/>
      </x:right>
      <x:top>
        <x:color auto="1"/>
      </x:top>
      <x:bottom style="medium">
        <x:color rgb="ffff0000"/>
      </x:bottom>
    </x:border>
    <x:border>
      <x:left style="thin">
        <x:color auto="1"/>
      </x:left>
      <x:right>
        <x:color auto="1"/>
      </x:right>
      <x:top style="medium">
        <x:color rgb="ffff0000"/>
      </x:top>
      <x:bottom>
        <x:color auto="1"/>
      </x:bottom>
    </x:border>
    <x:border>
      <x:left style="thin">
        <x:color auto="1"/>
      </x:left>
      <x:right>
        <x:color auto="1"/>
      </x:right>
      <x:top>
        <x:color auto="1"/>
      </x:top>
      <x:bottom style="medium">
        <x:color rgb="ffff0000"/>
      </x:bottom>
    </x:border>
    <x:border>
      <x:left style="thin">
        <x:color auto="1"/>
      </x:left>
      <x:right style="thin">
        <x:color auto="1"/>
      </x:right>
      <x:top>
        <x:color auto="1"/>
      </x:top>
      <x:bottom style="medium">
        <x:color rgb="ffff0000"/>
      </x:bottom>
    </x:border>
    <x:border>
      <x:left style="medium">
        <x:color rgb="ffff0000"/>
      </x:left>
      <x:right style="thin">
        <x:color rgb="ff000000"/>
      </x:right>
      <x:top style="medium">
        <x:color rgb="ffff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ff0000"/>
      </x:top>
      <x:bottom style="thin">
        <x:color rgb="ff000000"/>
      </x:bottom>
    </x:border>
    <x:border>
      <x:left style="thin">
        <x:color rgb="ff000000"/>
      </x:left>
      <x:right style="medium">
        <x:color rgb="ffff0000"/>
      </x:right>
      <x:top style="medium">
        <x:color rgb="ffff0000"/>
      </x:top>
      <x:bottom style="thin">
        <x:color rgb="ff000000"/>
      </x:bottom>
    </x:border>
    <x:border>
      <x:left>
        <x:color auto="1"/>
      </x:left>
      <x:right style="thin">
        <x:color auto="1"/>
      </x:right>
      <x:top style="medium">
        <x:color rgb="ffff0000"/>
      </x:top>
      <x:bottom>
        <x:color auto="1"/>
      </x:bottom>
    </x:border>
    <x:border>
      <x:left style="thin">
        <x:color auto="1"/>
      </x:left>
      <x:right>
        <x:color auto="1"/>
      </x:right>
      <x:top style="medium">
        <x:color rgb="ffff0000"/>
      </x:top>
      <x:bottom style="thin">
        <x:color auto="1"/>
      </x:bottom>
    </x:border>
    <x:border>
      <x:left style="medium">
        <x:color rgb="ffff0000"/>
      </x:left>
      <x:right style="thin">
        <x:color auto="1"/>
      </x:right>
      <x:top style="medium">
        <x:color rgb="ffff0000"/>
      </x:top>
      <x:bottom style="thin">
        <x:color auto="1"/>
      </x:bottom>
    </x:border>
    <x:border>
      <x:left>
        <x:color auto="1"/>
      </x:left>
      <x:right style="thin"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double"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medium">
        <x:color rgb="ffff0000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double">
        <x:color rgb="ff000000"/>
      </x:right>
      <x:top style="thin">
        <x:color auto="1"/>
      </x:top>
      <x:bottom style="medium">
        <x:color rgb="ffff0000"/>
      </x:bottom>
    </x:border>
  </x:borders>
  <x:cellStyleXfs count="2">
    <x:xf numFmtId="0" fontId="0" fillId="0" borderId="0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52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2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2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4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4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7" fillId="5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7" fillId="5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7" fillId="2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7" fillId="2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7" fillId="5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7" fillId="5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7" fillId="2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7" fillId="2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7" fillId="5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7" fillId="5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3" borderId="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3" borderId="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3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3" borderId="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3" borderId="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0" fillId="4" borderId="5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0" fillId="4" borderId="5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9" fillId="7" borderId="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9" fillId="7" borderId="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3" borderId="1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3" borderId="1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8" borderId="1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8" borderId="1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3" fillId="4" borderId="6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3" fillId="4" borderId="6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1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1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1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1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3" fillId="4" borderId="1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3" fillId="4" borderId="13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1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1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1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1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1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1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1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1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1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1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9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9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20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20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2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2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3" borderId="1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3" borderId="1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8" borderId="1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8" borderId="1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2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2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4" borderId="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4" borderId="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" fontId="6" fillId="0" borderId="2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6" fillId="0" borderId="22" xfId="0" applyNumberFormat="1" applyFont="1" applyBorder="1" applyAlignment="1">
          <x:alignment horizontal="center" vertical="center"/>
        </x:xf>
      </mc:Fallback>
    </mc:AlternateContent>
    <x:xf numFmtId="166" fontId="13" fillId="0" borderId="1" xfId="0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41" fontId="6" fillId="0" borderId="2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2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2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2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2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2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2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2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2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2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2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2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2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2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29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29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3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3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3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3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3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3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" fontId="6" fillId="0" borderId="3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6" fillId="0" borderId="3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34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34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3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3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39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39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4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4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4" borderId="6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4" borderId="6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4" borderId="44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4" borderId="44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5" borderId="4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5" borderId="4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5" borderId="4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5" borderId="4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5" borderId="4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5" borderId="4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4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4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4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4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4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4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3" borderId="51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3" borderId="51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3" borderId="4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3" borderId="4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5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5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6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6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6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6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6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6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6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6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6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6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6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6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4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4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9" borderId="6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9" borderId="6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9" borderId="4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9" borderId="4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6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6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6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6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6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6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7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7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3" borderId="6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3" borderId="6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7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7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7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7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7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7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5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5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1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1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6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6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5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5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8" fillId="4" borderId="1" xfId="0" applyNumberFormat="1" applyFont="1" applyFill="1" applyBorder="1" applyAlignment="1" hs:applyExtension="1">
          <x:alignment horizontal="right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8" fillId="4" borderId="1" xfId="0" applyNumberFormat="1" applyFont="1" applyFill="1" applyBorder="1" applyAlignment="1">
          <x:alignment horizontal="right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3" fillId="4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3" fillId="4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11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11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7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7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0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0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8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1" fillId="3" borderId="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1" fillId="3" borderId="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9" fillId="4" borderId="5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9" fillId="4" borderId="5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5" fillId="3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3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5" fillId="4" borderId="1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5" fillId="4" borderId="1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0" fillId="3" borderId="0" xfId="1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0" fillId="3" borderId="0" xfId="1" applyNumberFormat="1" applyFont="1" applyFill="1" applyAlignment="1">
          <x:alignment horizontal="center" vertical="center"/>
        </x:xf>
      </mc:Fallback>
    </mc:AlternateContent>
    <x:xf numFmtId="0" fontId="21" fillId="0" borderId="0" xfId="0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16" fillId="0" borderId="0" xfId="0" applyNumberFormat="1" applyFont="1" applyAlignment="1">
          <x:alignment horizontal="center" vertical="center"/>
        </x:xf>
      </mc:Fallback>
    </mc:AlternateContent>
    <x:xf numFmtId="0" fontId="22" fillId="0" borderId="0" xfId="0" applyNumberFormat="1" applyFont="1" applyAlignment="1">
      <x:alignment horizontal="left" vertical="center" wrapText="1"/>
    </x:xf>
    <x:xf numFmtId="0" fontId="22" fillId="0" borderId="0" xfId="0" applyNumberFormat="1" applyFont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1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4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4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4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4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3" fillId="0" borderId="46" xfId="1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3" fillId="0" borderId="46" xfId="1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3" fillId="0" borderId="46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3" fillId="0" borderId="46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3" fillId="0" borderId="4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3" fillId="0" borderId="4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3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3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3" fillId="0" borderId="4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3" fillId="0" borderId="4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3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3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4" fillId="0" borderId="4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4" fillId="0" borderId="4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4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4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4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4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7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7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7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7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5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5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6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6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4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4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5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5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5" fillId="10" borderId="51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5" fillId="10" borderId="51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7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7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6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6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6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6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6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6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4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4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7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7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7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7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6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6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5" fillId="10" borderId="5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5" fillId="10" borderId="5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5" fillId="10" borderId="78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5" fillId="10" borderId="78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5" fillId="10" borderId="4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5" fillId="10" borderId="4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7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7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8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8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8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8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6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6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9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9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13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13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8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8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7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7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6" fillId="5" borderId="7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6" fillId="5" borderId="77" xfId="1" applyNumberFormat="1" applyFont="1" applyFill="1" applyBorder="1" applyAlignment="1">
          <x:alignment horizontal="center" vertical="center" wrapText="1"/>
        </x:xf>
      </mc:Fallback>
    </mc:AlternateContent>
  </x:cellXfs>
  <x:cellStyles count="2">
    <x:cellStyle name="표준" xfId="0" builtinId="0" iLevel="0"/>
    <x:cellStyle name="쉼표 [0]" xfId="1" builtinId="6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Users/LG/Documents/2026%20&#44277;&#44277;&#44592;&#44288;%20AI%20&#54532;&#47196;&#51229;&#53944;%20&#52300;&#47536;&#51648;&#47484;%20Job&#50500;&#46972;/&#54620;&#44397;&#49324;&#54924;&#48372;&#51109;&#51221;&#48372;&#50896;_&#49328;&#54617;&#54801;&#47141;%20&#54532;&#47196;&#51229;&#53944;%20&#44284;&#51228;5_&#44284;&#51228;%20&#49444;&#47749;&#51088;&#47308;%20&#48143;%20&#45936;&#51060;&#53552;/2026%20&#51312;&#44204;&#54364;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고시 본문"/>
      <x:sheetName val="부칙"/>
      <x:sheetName val="인정조사"/>
      <x:sheetName val="산정특례"/>
      <x:sheetName val="종합조사"/>
    </x:sheetNames>
    <x:sheetDataSet>
      <x:sheetData sheetId="0" refreshError="0"/>
      <x:sheetData sheetId="1" refreshError="0"/>
      <x:sheetData sheetId="2" refreshError="0"/>
      <x:sheetData sheetId="3" refreshError="0">
        <x:row r="4">
          <x:cell r="U4">
            <x:v>216200</x:v>
          </x:cell>
        </x:row>
      </x:sheetData>
      <x:sheetData sheetId="4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comments" Target="../comments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comments" Target="../comments3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B1:AT28"/>
  <x:sheetViews>
    <x:sheetView topLeftCell="A2" zoomScaleNormal="100" zoomScaleSheetLayoutView="100" workbookViewId="0">
      <x:selection activeCell="E12" activeCellId="0" sqref="E12:E12"/>
    </x:sheetView>
  </x:sheetViews>
  <x:sheetFormatPr defaultColWidth="8.796875" defaultRowHeight="16.39999999999999857891"/>
  <x:cols>
    <x:col min="2" max="2" width="14.6015625" customWidth="1"/>
    <x:col min="3" max="3" width="34.30078125" customWidth="1"/>
    <x:col min="4" max="4" width="12.19921875" customWidth="1"/>
    <x:col min="5" max="8" width="12.77734375" customWidth="1"/>
    <x:col min="9" max="9" width="14.80078125" customWidth="1"/>
    <x:col min="10" max="13" width="10.77734375" customWidth="1"/>
    <x:col min="42" max="42" width="8.6015625" customWidth="1"/>
  </x:cols>
  <x:sheetData>
    <x:row r="1" spans="5:13">
      <x:c r="E1" s="13" t="s">
        <x:v>10</x:v>
      </x:c>
      <x:c r="F1" s="14">
        <x:v>17270</x:v>
      </x:c>
      <x:c r="G1" s="15" t="s">
        <x:v>21</x:v>
      </x:c>
      <x:c r="H1" s="16">
        <x:v>16620</x:v>
      </x:c>
      <x:c r="I1" s="17" t="s">
        <x:v>55</x:v>
      </x:c>
      <x:c r="J1" s="17" t="s">
        <x:v>15</x:v>
      </x:c>
      <x:c r="K1" s="17" t="s">
        <x:v>25</x:v>
      </x:c>
      <x:c r="L1" s="17" t="s">
        <x:v>17</x:v>
      </x:c>
      <x:c r="M1" s="17" t="s">
        <x:v>20</x:v>
      </x:c>
    </x:row>
    <x:row r="2" spans="5:13">
      <x:c r="E2" s="18" t="s">
        <x:v>26</x:v>
      </x:c>
      <x:c r="F2" s="16">
        <x:v>3089062</x:v>
      </x:c>
      <x:c r="G2" s="19">
        <x:f>ROUNDDOWN(F2*0.05,-2)</x:f>
        <x:v>154400</x:v>
      </x:c>
      <x:c r="H2" s="20" t="s">
        <x:v>49</x:v>
      </x:c>
      <x:c r="I2" s="21" t="s">
        <x:v>22</x:v>
      </x:c>
      <x:c r="J2" s="21">
        <x:v>0.059999999999999998</x:v>
      </x:c>
      <x:c r="K2" s="21">
        <x:v>0.089999999999999991</x:v>
      </x:c>
      <x:c r="L2" s="21">
        <x:v>0.12</x:v>
      </x:c>
      <x:c r="M2" s="21">
        <x:v>0.14999999999999999</x:v>
      </x:c>
    </x:row>
    <x:row r="3" spans="5:13">
      <x:c r="E3" s="22"/>
      <x:c r="F3" s="12"/>
      <x:c r="G3" s="23"/>
      <x:c r="H3" s="23"/>
      <x:c r="I3" s="21" t="s">
        <x:v>23</x:v>
      </x:c>
      <x:c r="J3" s="21">
        <x:v>0.020000000000000001</x:v>
      </x:c>
      <x:c r="K3" s="21">
        <x:v>0.029999999999999999</x:v>
      </x:c>
      <x:c r="L3" s="21">
        <x:v>0.040000000000000002</x:v>
      </x:c>
      <x:c r="M3" s="21">
        <x:v>0.05</x:v>
      </x:c>
    </x:row>
    <x:row r="6" spans="3:46" ht="22.44999999999999928946">
      <x:c r="C6" s="113" t="s">
        <x:v>44</x:v>
      </x:c>
      <x:c r="D6" s="114"/>
      <x:c r="E6" s="114"/>
      <x:c r="F6" s="114"/>
      <x:c r="G6" s="114"/>
      <x:c r="H6" s="114"/>
      <x:c r="I6" s="114"/>
      <x:c r="J6" s="115"/>
      <x:c r="K6" s="114" t="s">
        <x:v>18</x:v>
      </x:c>
      <x:c r="L6" s="114"/>
      <x:c r="M6" s="114"/>
      <x:c r="N6" s="114"/>
      <x:c r="O6" s="114"/>
      <x:c r="P6" s="114"/>
      <x:c r="Q6" s="114"/>
      <x:c r="R6" s="114"/>
      <x:c r="S6" s="114"/>
      <x:c r="T6" s="114"/>
      <x:c r="U6" s="114"/>
      <x:c r="V6" s="114"/>
      <x:c r="W6" s="114"/>
      <x:c r="X6" s="114"/>
      <x:c r="Y6" s="114"/>
      <x:c r="Z6" s="114"/>
      <x:c r="AA6" s="114"/>
      <x:c r="AB6" s="114"/>
      <x:c r="AC6" s="114"/>
      <x:c r="AD6" s="114"/>
      <x:c r="AE6" s="114"/>
      <x:c r="AF6" s="114"/>
      <x:c r="AG6" s="114"/>
      <x:c r="AH6" s="114"/>
      <x:c r="AI6" s="114"/>
      <x:c r="AJ6" s="114"/>
      <x:c r="AK6" s="114"/>
      <x:c r="AL6" s="114"/>
      <x:c r="AM6" s="114"/>
      <x:c r="AN6" s="114"/>
      <x:c r="AO6" s="114"/>
      <x:c r="AP6" s="114"/>
      <x:c r="AQ6" s="114"/>
      <x:c r="AR6" s="114"/>
      <x:c r="AS6" s="114"/>
      <x:c r="AT6" s="115"/>
    </x:row>
    <x:row r="7" spans="3:46">
      <x:c r="C7" s="116" t="s">
        <x:v>16</x:v>
      </x:c>
      <x:c r="D7" s="118" t="s">
        <x:v>24</x:v>
      </x:c>
      <x:c r="E7" s="120" t="s">
        <x:v>9</x:v>
      </x:c>
      <x:c r="F7" s="122" t="s">
        <x:v>14</x:v>
      </x:c>
      <x:c r="G7" s="123"/>
      <x:c r="H7" s="124" t="s">
        <x:v>19</x:v>
      </x:c>
      <x:c r="I7" s="125"/>
      <x:c r="J7" s="126"/>
      <x:c r="K7" s="127" t="s">
        <x:v>13</x:v>
      </x:c>
      <x:c r="L7" s="128"/>
      <x:c r="M7" s="128"/>
      <x:c r="N7" s="128"/>
      <x:c r="O7" s="128"/>
      <x:c r="P7" s="128"/>
      <x:c r="Q7" s="129" t="s">
        <x:v>37</x:v>
      </x:c>
      <x:c r="R7" s="128"/>
      <x:c r="S7" s="128"/>
      <x:c r="T7" s="128"/>
      <x:c r="U7" s="128"/>
      <x:c r="V7" s="130"/>
      <x:c r="W7" s="131" t="s">
        <x:v>41</x:v>
      </x:c>
      <x:c r="X7" s="128"/>
      <x:c r="Y7" s="128"/>
      <x:c r="Z7" s="128"/>
      <x:c r="AA7" s="128"/>
      <x:c r="AB7" s="130"/>
      <x:c r="AC7" s="132" t="s">
        <x:v>51</x:v>
      </x:c>
      <x:c r="AD7" s="133"/>
      <x:c r="AE7" s="133"/>
      <x:c r="AF7" s="133"/>
      <x:c r="AG7" s="133"/>
      <x:c r="AH7" s="134"/>
      <x:c r="AI7" s="132" t="s">
        <x:v>77</x:v>
      </x:c>
      <x:c r="AJ7" s="133"/>
      <x:c r="AK7" s="133"/>
      <x:c r="AL7" s="133"/>
      <x:c r="AM7" s="133"/>
      <x:c r="AN7" s="134"/>
      <x:c r="AO7" s="135" t="s">
        <x:v>78</x:v>
      </x:c>
      <x:c r="AP7" s="133"/>
      <x:c r="AQ7" s="133"/>
      <x:c r="AR7" s="133"/>
      <x:c r="AS7" s="133"/>
      <x:c r="AT7" s="136"/>
    </x:row>
    <x:row r="8" spans="3:46" ht="26.35000000000000142109">
      <x:c r="C8" s="117"/>
      <x:c r="D8" s="119"/>
      <x:c r="E8" s="121"/>
      <x:c r="F8" s="112" t="s">
        <x:v>54</x:v>
      </x:c>
      <x:c r="G8" s="25" t="s">
        <x:v>56</x:v>
      </x:c>
      <x:c r="H8" s="26" t="s">
        <x:v>65</x:v>
      </x:c>
      <x:c r="I8" s="27" t="s">
        <x:v>54</x:v>
      </x:c>
      <x:c r="J8" s="28" t="s">
        <x:v>56</x:v>
      </x:c>
      <x:c r="K8" s="29" t="s">
        <x:v>58</x:v>
      </x:c>
      <x:c r="L8" s="30" t="s">
        <x:v>57</x:v>
      </x:c>
      <x:c r="M8" s="24" t="s">
        <x:v>15</x:v>
      </x:c>
      <x:c r="N8" s="24" t="s">
        <x:v>25</x:v>
      </x:c>
      <x:c r="O8" s="24" t="s">
        <x:v>17</x:v>
      </x:c>
      <x:c r="P8" s="24" t="s">
        <x:v>20</x:v>
      </x:c>
      <x:c r="Q8" s="31" t="s">
        <x:v>58</x:v>
      </x:c>
      <x:c r="R8" s="32" t="s">
        <x:v>57</x:v>
      </x:c>
      <x:c r="S8" s="24" t="s">
        <x:v>15</x:v>
      </x:c>
      <x:c r="T8" s="24" t="s">
        <x:v>25</x:v>
      </x:c>
      <x:c r="U8" s="24" t="s">
        <x:v>17</x:v>
      </x:c>
      <x:c r="V8" s="24" t="s">
        <x:v>20</x:v>
      </x:c>
      <x:c r="W8" s="33" t="s">
        <x:v>58</x:v>
      </x:c>
      <x:c r="X8" s="32" t="s">
        <x:v>57</x:v>
      </x:c>
      <x:c r="Y8" s="24" t="s">
        <x:v>15</x:v>
      </x:c>
      <x:c r="Z8" s="24" t="s">
        <x:v>25</x:v>
      </x:c>
      <x:c r="AA8" s="24" t="s">
        <x:v>17</x:v>
      </x:c>
      <x:c r="AB8" s="24" t="s">
        <x:v>20</x:v>
      </x:c>
      <x:c r="AC8" s="34" t="s">
        <x:v>58</x:v>
      </x:c>
      <x:c r="AD8" s="35" t="s">
        <x:v>57</x:v>
      </x:c>
      <x:c r="AE8" s="27" t="s">
        <x:v>15</x:v>
      </x:c>
      <x:c r="AF8" s="27" t="s">
        <x:v>25</x:v>
      </x:c>
      <x:c r="AG8" s="27" t="s">
        <x:v>17</x:v>
      </x:c>
      <x:c r="AH8" s="27" t="s">
        <x:v>20</x:v>
      </x:c>
      <x:c r="AI8" s="34" t="s">
        <x:v>58</x:v>
      </x:c>
      <x:c r="AJ8" s="35" t="s">
        <x:v>57</x:v>
      </x:c>
      <x:c r="AK8" s="27" t="s">
        <x:v>15</x:v>
      </x:c>
      <x:c r="AL8" s="27" t="s">
        <x:v>25</x:v>
      </x:c>
      <x:c r="AM8" s="27" t="s">
        <x:v>17</x:v>
      </x:c>
      <x:c r="AN8" s="27" t="s">
        <x:v>20</x:v>
      </x:c>
      <x:c r="AO8" s="34" t="s">
        <x:v>58</x:v>
      </x:c>
      <x:c r="AP8" s="36" t="s">
        <x:v>57</x:v>
      </x:c>
      <x:c r="AQ8" s="27" t="s">
        <x:v>15</x:v>
      </x:c>
      <x:c r="AR8" s="27" t="s">
        <x:v>25</x:v>
      </x:c>
      <x:c r="AS8" s="27" t="s">
        <x:v>17</x:v>
      </x:c>
      <x:c r="AT8" s="28" t="s">
        <x:v>20</x:v>
      </x:c>
    </x:row>
    <x:row r="9" spans="3:46">
      <x:c r="C9" s="37" t="s">
        <x:v>64</x:v>
      </x:c>
      <x:c r="D9" s="38">
        <x:f>E9/$F$1</x:f>
        <x:v>118.18181818181819</x:v>
      </x:c>
      <x:c r="E9" s="39">
        <x:v>2041000</x:v>
      </x:c>
      <x:c r="F9" s="40">
        <x:f>ROUNDUP((D9-0)*$F$1,-3)</x:f>
        <x:v>2041000</x:v>
      </x:c>
      <x:c r="G9" s="40">
        <x:f>ROUNDUP((D9-22)*$F$1,-3)</x:f>
        <x:v>1662000</x:v>
      </x:c>
      <x:c r="H9" s="41">
        <x:f t="shared" ref="H9:J12" si="0">E9/2</x:f>
        <x:v>1020500</x:v>
      </x:c>
      <x:c r="I9" s="40">
        <x:f t="shared" si="0"/>
        <x:v>1020500</x:v>
      </x:c>
      <x:c r="J9" s="40">
        <x:f t="shared" si="0"/>
        <x:v>831000</x:v>
      </x:c>
      <x:c r="K9" s="42" t="s">
        <x:v>60</x:v>
      </x:c>
      <x:c r="L9" s="40">
        <x:v>20000</x:v>
      </x:c>
      <x:c r="M9" s="43">
        <x:f>IF(ROUNDDOWN($E9*$J$2,-2)&gt;$G$2,$G$2,ROUNDDOWN($E9*$J$2,-2))</x:f>
        <x:v>122400</x:v>
      </x:c>
      <x:c r="N9" s="43">
        <x:f>IF(ROUNDDOWN($E9*$K$2,-2)&gt;$G$2,$G$2,ROUNDDOWN($E9*$K$2,-2))</x:f>
        <x:v>154400</x:v>
      </x:c>
      <x:c r="O9" s="43">
        <x:f>IF(ROUNDDOWN($E9*$L$2,-2)&gt;$G$2,$G$2,ROUNDDOWN($E9*$L$2,-2))</x:f>
        <x:v>154400</x:v>
      </x:c>
      <x:c r="P9" s="43">
        <x:f>IF(ROUNDDOWN($E9*$M$2,-2)&gt;$G$2,$G$2,ROUNDDOWN($E9*$M$2,-2))</x:f>
        <x:v>154400</x:v>
      </x:c>
      <x:c r="Q9" s="44" t="s">
        <x:v>60</x:v>
      </x:c>
      <x:c r="R9" s="40">
        <x:v>20000</x:v>
      </x:c>
      <x:c r="S9" s="43">
        <x:f>IF(ROUNDDOWN($F9*$J$2,-2)&gt;$G$2,$G$2,ROUNDDOWN($F9*$J$2,-2))</x:f>
        <x:v>122400</x:v>
      </x:c>
      <x:c r="T9" s="43">
        <x:f>IF(ROUNDDOWN($F9*$K$2,-2)&gt;$G$2,$G$2,ROUNDDOWN($F9*$K$2,-2))</x:f>
        <x:v>154400</x:v>
      </x:c>
      <x:c r="U9" s="43">
        <x:f>IF(ROUNDDOWN($F9*$L$2,-2)&gt;$G$2,$G$2,ROUNDDOWN($F9*$L$2,-2))</x:f>
        <x:v>154400</x:v>
      </x:c>
      <x:c r="V9" s="43">
        <x:f>IF(ROUNDDOWN($F9*$M$2,-2)&gt;$G$2,$G$2,ROUNDDOWN($F9*$M$2,-2))</x:f>
        <x:v>154400</x:v>
      </x:c>
      <x:c r="W9" s="45" t="s">
        <x:v>60</x:v>
      </x:c>
      <x:c r="X9" s="40" t="s">
        <x:v>60</x:v>
      </x:c>
      <x:c r="Y9" s="43">
        <x:f>IF(ROUNDDOWN($G9*$J$2,-2)&gt;$G$2,$G$2,ROUNDDOWN($G9*$J$2,-2))</x:f>
        <x:v>99700</x:v>
      </x:c>
      <x:c r="Z9" s="43">
        <x:f>IF(ROUNDDOWN($G9*$K$2,-2)&gt;$G$2,$G$2,ROUNDDOWN($G9*$K$2,-2))</x:f>
        <x:v>149500</x:v>
      </x:c>
      <x:c r="AA9" s="43">
        <x:f>IF(ROUNDDOWN($G9*$L$2,-2)&gt;$G$2,$G$2,ROUNDDOWN($G9*$L$2,-2))</x:f>
        <x:v>154400</x:v>
      </x:c>
      <x:c r="AB9" s="43">
        <x:f>IF(ROUNDDOWN($G9*$M$2,-2)&gt;$G$2,$G$2,ROUNDDOWN($G9*$M$2,-2))</x:f>
        <x:v>154400</x:v>
      </x:c>
      <x:c r="AC9" s="45" t="s">
        <x:v>60</x:v>
      </x:c>
      <x:c r="AD9" s="40">
        <x:v>20000</x:v>
      </x:c>
      <x:c r="AE9" s="43">
        <x:f>IF(ROUNDDOWN($H9*$J$2,-2)&gt;$G$2,$G$2,ROUNDDOWN($H9*$J$2,-2))</x:f>
        <x:v>61200</x:v>
      </x:c>
      <x:c r="AF9" s="43">
        <x:f>IF(ROUNDDOWN($H9*$K$2,-2)&gt;$G$2,$G$2,ROUNDDOWN($H9*$K$2,-2))</x:f>
        <x:v>91800</x:v>
      </x:c>
      <x:c r="AG9" s="43">
        <x:f>IF(ROUNDDOWN($H9*$L$2,-2)&gt;$G$2,$G$2,ROUNDDOWN($H9*$L$2,-2))</x:f>
        <x:v>122400</x:v>
      </x:c>
      <x:c r="AH9" s="43">
        <x:f>IF(ROUNDDOWN($H9*$M$2,-2)&gt;$G$2,$G$2,ROUNDDOWN($H9*$M$2,-2))</x:f>
        <x:v>153000</x:v>
      </x:c>
      <x:c r="AI9" s="45" t="s">
        <x:v>60</x:v>
      </x:c>
      <x:c r="AJ9" s="40">
        <x:v>20000</x:v>
      </x:c>
      <x:c r="AK9" s="43">
        <x:f>IF(ROUNDDOWN($I9*$J$2,-2)&gt;$G$2,$G$2,ROUNDDOWN($I9*$J$2,-2))</x:f>
        <x:v>61200</x:v>
      </x:c>
      <x:c r="AL9" s="43">
        <x:f>IF(ROUNDDOWN($I9*$K$2,-2)&gt;$G$2,$G$2,ROUNDDOWN($I9*$K$2,-2))</x:f>
        <x:v>91800</x:v>
      </x:c>
      <x:c r="AM9" s="43">
        <x:f>IF(ROUNDDOWN($I9*$L$2,-2)&gt;$G$2,$G$2,ROUNDDOWN($I9*$L$2,-2))</x:f>
        <x:v>122400</x:v>
      </x:c>
      <x:c r="AN9" s="43">
        <x:f>IF(ROUNDDOWN($I9*$M$2,-2)&gt;$G$2,$G$2,ROUNDDOWN($I9*$M$2,-2))</x:f>
        <x:v>153000</x:v>
      </x:c>
      <x:c r="AO9" s="45" t="s">
        <x:v>60</x:v>
      </x:c>
      <x:c r="AP9" s="40" t="s">
        <x:v>60</x:v>
      </x:c>
      <x:c r="AQ9" s="43">
        <x:f>IF(ROUNDDOWN($J9*$J$2,-2)&gt;$G$2,$G$2,ROUNDDOWN($J9*$J$2,-2))</x:f>
        <x:v>49800</x:v>
      </x:c>
      <x:c r="AR9" s="43">
        <x:f>IF(ROUNDDOWN($J9*$K$2,-2)&gt;$G$2,$G$2,ROUNDDOWN($J9*$K$2,-2))</x:f>
        <x:v>74700</x:v>
      </x:c>
      <x:c r="AS9" s="43">
        <x:f>IF(ROUNDDOWN($J9*$L$2,-2)&gt;$G$2,$G$2,ROUNDDOWN($J9*$L$2,-2))</x:f>
        <x:v>99700</x:v>
      </x:c>
      <x:c r="AT9" s="46">
        <x:f>IF(ROUNDDOWN($J9*$M$2,-2)&gt;$G$2,$G$2,ROUNDDOWN($J9*$M$2,-2))</x:f>
        <x:v>124600</x:v>
      </x:c>
    </x:row>
    <x:row r="10" spans="3:46">
      <x:c r="C10" s="37" t="s">
        <x:v>62</x:v>
      </x:c>
      <x:c r="D10" s="38">
        <x:f>E10/$F$1</x:f>
        <x:v>94.209612044006946</x:v>
      </x:c>
      <x:c r="E10" s="39">
        <x:v>1627000</x:v>
      </x:c>
      <x:c r="F10" s="40">
        <x:f>ROUNDUP((D10-0)*$F$1,-3)</x:f>
        <x:v>1627000</x:v>
      </x:c>
      <x:c r="G10" s="40">
        <x:f>ROUNDUP((D10-22)*$F$1,-3)</x:f>
        <x:v>1248000</x:v>
      </x:c>
      <x:c r="H10" s="41">
        <x:f t="shared" si="0"/>
        <x:v>813500</x:v>
      </x:c>
      <x:c r="I10" s="40">
        <x:f t="shared" si="0"/>
        <x:v>813500</x:v>
      </x:c>
      <x:c r="J10" s="40">
        <x:f t="shared" si="0"/>
        <x:v>624000</x:v>
      </x:c>
      <x:c r="K10" s="42" t="s">
        <x:v>60</x:v>
      </x:c>
      <x:c r="L10" s="40">
        <x:v>20000</x:v>
      </x:c>
      <x:c r="M10" s="43">
        <x:f>IF(ROUNDDOWN($E10*$J$2,-2)&gt;$G$2,$G$2,ROUNDDOWN($E10*$J$2,-2))</x:f>
        <x:v>97600</x:v>
      </x:c>
      <x:c r="N10" s="43">
        <x:f>IF(ROUNDDOWN($E10*$K$2,-2)&gt;$G$2,$G$2,ROUNDDOWN($E10*$K$2,-2))</x:f>
        <x:v>146400</x:v>
      </x:c>
      <x:c r="O10" s="43">
        <x:f>IF(ROUNDDOWN($E10*$L$2,-2)&gt;$G$2,$G$2,ROUNDDOWN($E10*$L$2,-2))</x:f>
        <x:v>154400</x:v>
      </x:c>
      <x:c r="P10" s="43">
        <x:f>IF(ROUNDDOWN($E10*$M$2,-2)&gt;$G$2,$G$2,ROUNDDOWN($E10*$M$2,-2))</x:f>
        <x:v>154400</x:v>
      </x:c>
      <x:c r="Q10" s="44" t="s">
        <x:v>60</x:v>
      </x:c>
      <x:c r="R10" s="40">
        <x:v>20000</x:v>
      </x:c>
      <x:c r="S10" s="43">
        <x:f>IF(ROUNDDOWN($F10*$J$2,-2)&gt;$G$2,$G$2,ROUNDDOWN($F10*$J$2,-2))</x:f>
        <x:v>97600</x:v>
      </x:c>
      <x:c r="T10" s="43">
        <x:f>IF(ROUNDDOWN($F10*$K$2,-2)&gt;$G$2,$G$2,ROUNDDOWN($F10*$K$2,-2))</x:f>
        <x:v>146400</x:v>
      </x:c>
      <x:c r="U10" s="43">
        <x:f>IF(ROUNDDOWN($F10*$L$2,-2)&gt;$G$2,$G$2,ROUNDDOWN($F10*$L$2,-2))</x:f>
        <x:v>154400</x:v>
      </x:c>
      <x:c r="V10" s="43">
        <x:f>IF(ROUNDDOWN($F10*$M$2,-2)&gt;$G$2,$G$2,ROUNDDOWN($F10*$M$2,-2))</x:f>
        <x:v>154400</x:v>
      </x:c>
      <x:c r="W10" s="45" t="s">
        <x:v>60</x:v>
      </x:c>
      <x:c r="X10" s="40" t="s">
        <x:v>60</x:v>
      </x:c>
      <x:c r="Y10" s="43">
        <x:f>IF(ROUNDDOWN($G10*$J$2,-2)&gt;$G$2,$G$2,ROUNDDOWN($G10*$J$2,-2))</x:f>
        <x:v>74800</x:v>
      </x:c>
      <x:c r="Z10" s="43">
        <x:f>IF(ROUNDDOWN($G10*$K$2,-2)&gt;$G$2,$G$2,ROUNDDOWN($G10*$K$2,-2))</x:f>
        <x:v>112300</x:v>
      </x:c>
      <x:c r="AA10" s="43">
        <x:f>IF(ROUNDDOWN($G10*$L$2,-2)&gt;$G$2,$G$2,ROUNDDOWN($G10*$L$2,-2))</x:f>
        <x:v>149700</x:v>
      </x:c>
      <x:c r="AB10" s="43">
        <x:f>IF(ROUNDDOWN($G10*$M$2,-2)&gt;$G$2,$G$2,ROUNDDOWN($G10*$M$2,-2))</x:f>
        <x:v>154400</x:v>
      </x:c>
      <x:c r="AC10" s="45" t="s">
        <x:v>60</x:v>
      </x:c>
      <x:c r="AD10" s="40">
        <x:v>20000</x:v>
      </x:c>
      <x:c r="AE10" s="43">
        <x:f>IF(ROUNDDOWN($H10*$J$2,-2)&gt;$G$2,$G$2,ROUNDDOWN($H10*$J$2,-2))</x:f>
        <x:v>48800</x:v>
      </x:c>
      <x:c r="AF10" s="43">
        <x:f>IF(ROUNDDOWN($H10*$K$2,-2)&gt;$G$2,$G$2,ROUNDDOWN($H10*$K$2,-2))</x:f>
        <x:v>73200</x:v>
      </x:c>
      <x:c r="AG10" s="43">
        <x:f>IF(ROUNDDOWN($H10*$L$2,-2)&gt;$G$2,$G$2,ROUNDDOWN($H10*$L$2,-2))</x:f>
        <x:v>97600</x:v>
      </x:c>
      <x:c r="AH10" s="47">
        <x:f>IF(ROUNDDOWN($H10*$M$2,-2)&gt;$G$2,$G$2,ROUNDDOWN($H10*$M$2,-2))</x:f>
        <x:v>122000</x:v>
      </x:c>
      <x:c r="AI10" s="45" t="s">
        <x:v>60</x:v>
      </x:c>
      <x:c r="AJ10" s="40">
        <x:v>20000</x:v>
      </x:c>
      <x:c r="AK10" s="43">
        <x:f>IF(ROUNDDOWN($I10*$J$2,-2)&gt;$G$2,$G$2,ROUNDDOWN($I10*$J$2,-2))</x:f>
        <x:v>48800</x:v>
      </x:c>
      <x:c r="AL10" s="43">
        <x:f>IF(ROUNDDOWN($I10*$K$2,-2)&gt;$G$2,$G$2,ROUNDDOWN($I10*$K$2,-2))</x:f>
        <x:v>73200</x:v>
      </x:c>
      <x:c r="AM10" s="43">
        <x:f>IF(ROUNDDOWN($I10*$L$2,-2)&gt;$G$2,$G$2,ROUNDDOWN($I10*$L$2,-2))</x:f>
        <x:v>97600</x:v>
      </x:c>
      <x:c r="AN10" s="47">
        <x:f>IF(ROUNDDOWN($I10*$M$2,-2)&gt;$G$2,$G$2,ROUNDDOWN($I10*$M$2,-2))</x:f>
        <x:v>122000</x:v>
      </x:c>
      <x:c r="AO10" s="48" t="s">
        <x:v>60</x:v>
      </x:c>
      <x:c r="AP10" s="40" t="s">
        <x:v>60</x:v>
      </x:c>
      <x:c r="AQ10" s="43">
        <x:f>IF(ROUNDDOWN($J10*$J$2,-2)&gt;$G$2,$G$2,ROUNDDOWN($J10*$J$2,-2))</x:f>
        <x:v>37400</x:v>
      </x:c>
      <x:c r="AR10" s="43">
        <x:f>IF(ROUNDDOWN($J10*$K$2,-2)&gt;$G$2,$G$2,ROUNDDOWN($J10*$K$2,-2))</x:f>
        <x:v>56100</x:v>
      </x:c>
      <x:c r="AS10" s="43">
        <x:f>IF(ROUNDDOWN($J10*$L$2,-2)&gt;$G$2,$G$2,ROUNDDOWN($J10*$L$2,-2))</x:f>
        <x:v>74800</x:v>
      </x:c>
      <x:c r="AT10" s="46">
        <x:f>IF(ROUNDDOWN($J10*$M$2,-2)&gt;$G$2,$G$2,ROUNDDOWN($J10*$M$2,-2))</x:f>
        <x:v>93600</x:v>
      </x:c>
    </x:row>
    <x:row r="11" spans="3:46">
      <x:c r="C11" s="37" t="s">
        <x:v>59</x:v>
      </x:c>
      <x:c r="D11" s="38">
        <x:f>E11/$F$1</x:f>
        <x:v>71.221771858714533</x:v>
      </x:c>
      <x:c r="E11" s="39">
        <x:v>1230000</x:v>
      </x:c>
      <x:c r="F11" s="40">
        <x:f>ROUNDUP((D11-0)*$F$1,-3)</x:f>
        <x:v>1230000</x:v>
      </x:c>
      <x:c r="G11" s="40">
        <x:f>ROUNDUP((D11-22)*$F$1,-3)</x:f>
        <x:v>851000</x:v>
      </x:c>
      <x:c r="H11" s="41">
        <x:f t="shared" si="0"/>
        <x:v>615000</x:v>
      </x:c>
      <x:c r="I11" s="40">
        <x:f t="shared" si="0"/>
        <x:v>615000</x:v>
      </x:c>
      <x:c r="J11" s="40">
        <x:f t="shared" si="0"/>
        <x:v>425500</x:v>
      </x:c>
      <x:c r="K11" s="42" t="s">
        <x:v>60</x:v>
      </x:c>
      <x:c r="L11" s="40">
        <x:v>20000</x:v>
      </x:c>
      <x:c r="M11" s="43">
        <x:f>IF(ROUNDDOWN($E11*$J$2,-2)&gt;$G$2,$G$2,ROUNDDOWN($E11*$J$2,-2))</x:f>
        <x:v>73800</x:v>
      </x:c>
      <x:c r="N11" s="43">
        <x:f>IF(ROUNDDOWN($E11*$K$2,-2)&gt;$G$2,$G$2,ROUNDDOWN($E11*$K$2,-2))</x:f>
        <x:v>110700</x:v>
      </x:c>
      <x:c r="O11" s="43">
        <x:f>IF(ROUNDDOWN($E11*$L$2,-2)&gt;$G$2,$G$2,ROUNDDOWN($E11*$L$2,-2))</x:f>
        <x:v>147600</x:v>
      </x:c>
      <x:c r="P11" s="43">
        <x:f>IF(ROUNDDOWN($E11*$M$2,-2)&gt;$G$2,$G$2,ROUNDDOWN($E11*$M$2,-2))</x:f>
        <x:v>154400</x:v>
      </x:c>
      <x:c r="Q11" s="44" t="s">
        <x:v>60</x:v>
      </x:c>
      <x:c r="R11" s="40">
        <x:v>20000</x:v>
      </x:c>
      <x:c r="S11" s="43">
        <x:f>IF(ROUNDDOWN($F11*$J$2,-2)&gt;$G$2,$G$2,ROUNDDOWN($F11*$J$2,-2))</x:f>
        <x:v>73800</x:v>
      </x:c>
      <x:c r="T11" s="43">
        <x:f>IF(ROUNDDOWN($F11*$K$2,-2)&gt;$G$2,$G$2,ROUNDDOWN($F11*$K$2,-2))</x:f>
        <x:v>110700</x:v>
      </x:c>
      <x:c r="U11" s="43">
        <x:f>IF(ROUNDDOWN($F11*$L$2,-2)&gt;$G$2,$G$2,ROUNDDOWN($F11*$L$2,-2))</x:f>
        <x:v>147600</x:v>
      </x:c>
      <x:c r="V11" s="43">
        <x:f>IF(ROUNDDOWN($F11*$M$2,-2)&gt;$G$2,$G$2,ROUNDDOWN($F11*$M$2,-2))</x:f>
        <x:v>154400</x:v>
      </x:c>
      <x:c r="W11" s="45" t="s">
        <x:v>60</x:v>
      </x:c>
      <x:c r="X11" s="40" t="s">
        <x:v>60</x:v>
      </x:c>
      <x:c r="Y11" s="43">
        <x:f>IF(ROUNDDOWN($G11*$J$2,-2)&gt;$G$2,$G$2,ROUNDDOWN($G11*$J$2,-2))</x:f>
        <x:v>51000</x:v>
      </x:c>
      <x:c r="Z11" s="43">
        <x:f>IF(ROUNDDOWN($G11*$K$2,-2)&gt;$G$2,$G$2,ROUNDDOWN($G11*$K$2,-2))</x:f>
        <x:v>76500</x:v>
      </x:c>
      <x:c r="AA11" s="43">
        <x:f>IF(ROUNDDOWN($G11*$L$2,-2)&gt;$G$2,$G$2,ROUNDDOWN($G11*$L$2,-2))</x:f>
        <x:v>102100</x:v>
      </x:c>
      <x:c r="AB11" s="47">
        <x:f>IF(ROUNDDOWN($G11*$M$2,-2)&gt;$G$2,$G$2,ROUNDDOWN($G11*$M$2,-2))</x:f>
        <x:v>127600</x:v>
      </x:c>
      <x:c r="AC11" s="45" t="s">
        <x:v>60</x:v>
      </x:c>
      <x:c r="AD11" s="40">
        <x:v>20000</x:v>
      </x:c>
      <x:c r="AE11" s="43">
        <x:f>IF(ROUNDDOWN($H11*$J$2,-2)&gt;$G$2,$G$2,ROUNDDOWN($H11*$J$2,-2))</x:f>
        <x:v>36900</x:v>
      </x:c>
      <x:c r="AF11" s="43">
        <x:f>IF(ROUNDDOWN($H11*$K$2,-2)&gt;$G$2,$G$2,ROUNDDOWN($H11*$K$2,-2))</x:f>
        <x:v>55300</x:v>
      </x:c>
      <x:c r="AG11" s="43">
        <x:f>IF(ROUNDDOWN($H11*$L$2,-2)&gt;$G$2,$G$2,ROUNDDOWN($H11*$L$2,-2))</x:f>
        <x:v>73800</x:v>
      </x:c>
      <x:c r="AH11" s="47">
        <x:f>IF(ROUNDDOWN($H11*$M$2,-2)&gt;$G$2,$G$2,ROUNDDOWN($H11*$M$2,-2))</x:f>
        <x:v>92200</x:v>
      </x:c>
      <x:c r="AI11" s="45" t="s">
        <x:v>60</x:v>
      </x:c>
      <x:c r="AJ11" s="40">
        <x:v>20000</x:v>
      </x:c>
      <x:c r="AK11" s="43">
        <x:f>IF(ROUNDDOWN($I11*$J$2,-2)&gt;$G$2,$G$2,ROUNDDOWN($I11*$J$2,-2))</x:f>
        <x:v>36900</x:v>
      </x:c>
      <x:c r="AL11" s="43">
        <x:f>IF(ROUNDDOWN($I11*$K$2,-2)&gt;$G$2,$G$2,ROUNDDOWN($I11*$K$2,-2))</x:f>
        <x:v>55300</x:v>
      </x:c>
      <x:c r="AM11" s="43">
        <x:f>IF(ROUNDDOWN($I11*$L$2,-2)&gt;$G$2,$G$2,ROUNDDOWN($I11*$L$2,-2))</x:f>
        <x:v>73800</x:v>
      </x:c>
      <x:c r="AN11" s="47">
        <x:f>IF(ROUNDDOWN($I11*$M$2,-2)&gt;$G$2,$G$2,ROUNDDOWN($I11*$M$2,-2))</x:f>
        <x:v>92200</x:v>
      </x:c>
      <x:c r="AO11" s="48" t="s">
        <x:v>60</x:v>
      </x:c>
      <x:c r="AP11" s="40" t="s">
        <x:v>60</x:v>
      </x:c>
      <x:c r="AQ11" s="43">
        <x:f>IF(ROUNDDOWN($J11*$J$2,-2)&gt;$G$2,$G$2,ROUNDDOWN($J11*$J$2,-2))</x:f>
        <x:v>25500</x:v>
      </x:c>
      <x:c r="AR11" s="43">
        <x:f>IF(ROUNDDOWN($J11*$K$2,-2)&gt;$G$2,$G$2,ROUNDDOWN($J11*$K$2,-2))</x:f>
        <x:v>38200</x:v>
      </x:c>
      <x:c r="AS11" s="43">
        <x:f>IF(ROUNDDOWN($J11*$L$2,-2)&gt;$G$2,$G$2,ROUNDDOWN($J11*$L$2,-2))</x:f>
        <x:v>51000</x:v>
      </x:c>
      <x:c r="AT11" s="46">
        <x:f>IF(ROUNDDOWN($J11*$M$2,-2)&gt;$G$2,$G$2,ROUNDDOWN($J11*$M$2,-2))</x:f>
        <x:v>63800</x:v>
      </x:c>
    </x:row>
    <x:row r="12" spans="3:46">
      <x:c r="C12" s="49" t="s">
        <x:v>66</x:v>
      </x:c>
      <x:c r="D12" s="50">
        <x:f>E12/$F$1</x:f>
        <x:v>47.191661841343368</x:v>
      </x:c>
      <x:c r="E12" s="51">
        <x:v>815000</x:v>
      </x:c>
      <x:c r="F12" s="52">
        <x:f>ROUNDUP((D12-0)*$F$1,-3)</x:f>
        <x:v>815000</x:v>
      </x:c>
      <x:c r="G12" s="52">
        <x:f>ROUNDUP((D12-22)*$F$1,-3)</x:f>
        <x:v>436000</x:v>
      </x:c>
      <x:c r="H12" s="53">
        <x:f t="shared" si="0"/>
        <x:v>407500</x:v>
      </x:c>
      <x:c r="I12" s="52">
        <x:f t="shared" si="0"/>
        <x:v>407500</x:v>
      </x:c>
      <x:c r="J12" s="52">
        <x:f t="shared" si="0"/>
        <x:v>218000</x:v>
      </x:c>
      <x:c r="K12" s="54" t="s">
        <x:v>60</x:v>
      </x:c>
      <x:c r="L12" s="52">
        <x:v>20000</x:v>
      </x:c>
      <x:c r="M12" s="55">
        <x:f>IF(ROUNDDOWN($E12*$J$2,-2)&gt;$G$2,$G$2,ROUNDDOWN($E12*$J$2,-2))</x:f>
        <x:v>48900</x:v>
      </x:c>
      <x:c r="N12" s="55">
        <x:f>IF(ROUNDDOWN($E12*$K$2,-2)&gt;$G$2,$G$2,ROUNDDOWN($E12*$K$2,-2))</x:f>
        <x:v>73300</x:v>
      </x:c>
      <x:c r="O12" s="55">
        <x:f>IF(ROUNDDOWN($E12*$L$2,-2)&gt;$G$2,$G$2,ROUNDDOWN($E12*$L$2,-2))</x:f>
        <x:v>97800</x:v>
      </x:c>
      <x:c r="P12" s="55">
        <x:f>IF(ROUNDDOWN($E12*$M$2,-2)&gt;$G$2,$G$2,ROUNDDOWN($E12*$M$2,-2))</x:f>
        <x:v>122200</x:v>
      </x:c>
      <x:c r="Q12" s="56" t="s">
        <x:v>60</x:v>
      </x:c>
      <x:c r="R12" s="52">
        <x:v>20000</x:v>
      </x:c>
      <x:c r="S12" s="55">
        <x:f>IF(ROUNDDOWN($F12*$J$2,-2)&gt;$G$2,$G$2,ROUNDDOWN($F12*$J$2,-2))</x:f>
        <x:v>48900</x:v>
      </x:c>
      <x:c r="T12" s="55">
        <x:f>IF(ROUNDDOWN($F12*$K$2,-2)&gt;$G$2,$G$2,ROUNDDOWN($F12*$K$2,-2))</x:f>
        <x:v>73300</x:v>
      </x:c>
      <x:c r="U12" s="55">
        <x:f>IF(ROUNDDOWN($F12*$L$2,-2)&gt;$G$2,$G$2,ROUNDDOWN($F12*$L$2,-2))</x:f>
        <x:v>97800</x:v>
      </x:c>
      <x:c r="V12" s="55">
        <x:f>IF(ROUNDDOWN($F12*$M$2,-2)&gt;$G$2,$G$2,ROUNDDOWN($F12*$M$2,-2))</x:f>
        <x:v>122200</x:v>
      </x:c>
      <x:c r="W12" s="57" t="s">
        <x:v>60</x:v>
      </x:c>
      <x:c r="X12" s="52" t="s">
        <x:v>60</x:v>
      </x:c>
      <x:c r="Y12" s="55">
        <x:f>IF(ROUNDDOWN($G12*$J$2,-2)&gt;$G$2,$G$2,ROUNDDOWN($G12*$J$2,-2))</x:f>
        <x:v>26100</x:v>
      </x:c>
      <x:c r="Z12" s="55">
        <x:f>IF(ROUNDDOWN($G12*$K$2,-2)&gt;$G$2,$G$2,ROUNDDOWN($G12*$K$2,-2))</x:f>
        <x:v>39200</x:v>
      </x:c>
      <x:c r="AA12" s="55">
        <x:f>IF(ROUNDDOWN($G12*$L$2,-2)&gt;$G$2,$G$2,ROUNDDOWN($G12*$L$2,-2))</x:f>
        <x:v>52300</x:v>
      </x:c>
      <x:c r="AB12" s="58">
        <x:f>IF(ROUNDDOWN($G12*$M$2,-2)&gt;$G$2,$G$2,ROUNDDOWN($G12*$M$2,-2))</x:f>
        <x:v>65400</x:v>
      </x:c>
      <x:c r="AC12" s="57" t="s">
        <x:v>60</x:v>
      </x:c>
      <x:c r="AD12" s="52">
        <x:v>20000</x:v>
      </x:c>
      <x:c r="AE12" s="55">
        <x:f>IF(ROUNDDOWN($H12*$J$2,-2)&gt;$G$2,$G$2,ROUNDDOWN($H12*$J$2,-2))</x:f>
        <x:v>24400</x:v>
      </x:c>
      <x:c r="AF12" s="55">
        <x:f>IF(ROUNDDOWN($H12*$K$2,-2)&gt;$G$2,$G$2,ROUNDDOWN($H12*$K$2,-2))</x:f>
        <x:v>36600</x:v>
      </x:c>
      <x:c r="AG12" s="55">
        <x:f>IF(ROUNDDOWN($H12*$L$2,-2)&gt;$G$2,$G$2,ROUNDDOWN($H12*$L$2,-2))</x:f>
        <x:v>48900</x:v>
      </x:c>
      <x:c r="AH12" s="58">
        <x:f>IF(ROUNDDOWN($H12*$M$2,-2)&gt;$G$2,$G$2,ROUNDDOWN($H12*$M$2,-2))</x:f>
        <x:v>61100</x:v>
      </x:c>
      <x:c r="AI12" s="57" t="s">
        <x:v>60</x:v>
      </x:c>
      <x:c r="AJ12" s="52">
        <x:v>20000</x:v>
      </x:c>
      <x:c r="AK12" s="55">
        <x:f>IF(ROUNDDOWN($I12*$J$2,-2)&gt;$G$2,$G$2,ROUNDDOWN($I12*$J$2,-2))</x:f>
        <x:v>24400</x:v>
      </x:c>
      <x:c r="AL12" s="55">
        <x:f>IF(ROUNDDOWN($I12*$K$2,-2)&gt;$G$2,$G$2,ROUNDDOWN($I12*$K$2,-2))</x:f>
        <x:v>36600</x:v>
      </x:c>
      <x:c r="AM12" s="55">
        <x:f>IF(ROUNDDOWN($I12*$L$2,-2)&gt;$G$2,$G$2,ROUNDDOWN($I12*$L$2,-2))</x:f>
        <x:v>48900</x:v>
      </x:c>
      <x:c r="AN12" s="58">
        <x:f>IF(ROUNDDOWN($I12*$M$2,-2)&gt;$G$2,$G$2,ROUNDDOWN($I12*$M$2,-2))</x:f>
        <x:v>61100</x:v>
      </x:c>
      <x:c r="AO12" s="59" t="s">
        <x:v>60</x:v>
      </x:c>
      <x:c r="AP12" s="52" t="s">
        <x:v>60</x:v>
      </x:c>
      <x:c r="AQ12" s="55">
        <x:f>IF(ROUNDDOWN($J12*$J$2,-2)&gt;$G$2,$G$2,ROUNDDOWN($J12*$J$2,-2))</x:f>
        <x:v>13000</x:v>
      </x:c>
      <x:c r="AR12" s="55">
        <x:f>IF(ROUNDDOWN($J12*$K$2,-2)&gt;$G$2,$G$2,ROUNDDOWN($J12*$K$2,-2))</x:f>
        <x:v>19600</x:v>
      </x:c>
      <x:c r="AS12" s="55">
        <x:f>IF(ROUNDDOWN($J12*$L$2,-2)&gt;$G$2,$G$2,ROUNDDOWN($J12*$L$2,-2))</x:f>
        <x:v>26100</x:v>
      </x:c>
      <x:c r="AT12" s="60">
        <x:f>IF(ROUNDDOWN($J12*$M$2,-2)&gt;$G$2,$G$2,ROUNDDOWN($J12*$M$2,-2))</x:f>
        <x:v>32700</x:v>
      </x:c>
    </x:row>
    <x:row r="15" spans="2:46" ht="22.85000000000000142109">
      <x:c r="B15" s="22"/>
      <x:c r="C15" s="137" t="s">
        <x:v>39</x:v>
      </x:c>
      <x:c r="D15" s="138"/>
      <x:c r="E15" s="138"/>
      <x:c r="F15" s="138"/>
      <x:c r="G15" s="138"/>
      <x:c r="H15" s="138"/>
      <x:c r="I15" s="138"/>
      <x:c r="J15" s="139"/>
      <x:c r="K15" s="140" t="s">
        <x:v>18</x:v>
      </x:c>
      <x:c r="L15" s="140"/>
      <x:c r="M15" s="140"/>
      <x:c r="N15" s="140"/>
      <x:c r="O15" s="140"/>
      <x:c r="P15" s="140"/>
      <x:c r="Q15" s="140"/>
      <x:c r="R15" s="140"/>
      <x:c r="S15" s="140"/>
      <x:c r="T15" s="140"/>
      <x:c r="U15" s="140"/>
      <x:c r="V15" s="140"/>
      <x:c r="W15" s="140"/>
      <x:c r="X15" s="140"/>
      <x:c r="Y15" s="140"/>
      <x:c r="Z15" s="140"/>
      <x:c r="AA15" s="140"/>
      <x:c r="AB15" s="140"/>
      <x:c r="AC15" s="140"/>
      <x:c r="AD15" s="140"/>
      <x:c r="AE15" s="140"/>
      <x:c r="AF15" s="140"/>
      <x:c r="AG15" s="140"/>
      <x:c r="AH15" s="140"/>
      <x:c r="AI15" s="140"/>
      <x:c r="AJ15" s="140"/>
      <x:c r="AK15" s="140"/>
      <x:c r="AL15" s="140"/>
      <x:c r="AM15" s="140"/>
      <x:c r="AN15" s="140"/>
      <x:c r="AO15" s="140"/>
      <x:c r="AP15" s="140"/>
      <x:c r="AQ15" s="140"/>
      <x:c r="AR15" s="140"/>
      <x:c r="AS15" s="140"/>
      <x:c r="AT15" s="141"/>
    </x:row>
    <x:row r="16" spans="2:46">
      <x:c r="B16" s="142" t="s">
        <x:v>48</x:v>
      </x:c>
      <x:c r="C16" s="116" t="s">
        <x:v>67</x:v>
      </x:c>
      <x:c r="D16" s="145" t="s">
        <x:v>24</x:v>
      </x:c>
      <x:c r="E16" s="118" t="s">
        <x:v>9</x:v>
      </x:c>
      <x:c r="F16" s="148" t="s">
        <x:v>14</x:v>
      </x:c>
      <x:c r="G16" s="123"/>
      <x:c r="H16" s="149" t="s">
        <x:v>19</x:v>
      </x:c>
      <x:c r="I16" s="150"/>
      <x:c r="J16" s="151"/>
      <x:c r="K16" s="127" t="s">
        <x:v>13</x:v>
      </x:c>
      <x:c r="L16" s="128"/>
      <x:c r="M16" s="128"/>
      <x:c r="N16" s="128"/>
      <x:c r="O16" s="128"/>
      <x:c r="P16" s="128"/>
      <x:c r="Q16" s="129" t="s">
        <x:v>37</x:v>
      </x:c>
      <x:c r="R16" s="128"/>
      <x:c r="S16" s="128"/>
      <x:c r="T16" s="128"/>
      <x:c r="U16" s="128"/>
      <x:c r="V16" s="130"/>
      <x:c r="W16" s="131" t="s">
        <x:v>41</x:v>
      </x:c>
      <x:c r="X16" s="128"/>
      <x:c r="Y16" s="128"/>
      <x:c r="Z16" s="128"/>
      <x:c r="AA16" s="128"/>
      <x:c r="AB16" s="130"/>
      <x:c r="AC16" s="132" t="s">
        <x:v>51</x:v>
      </x:c>
      <x:c r="AD16" s="133"/>
      <x:c r="AE16" s="133"/>
      <x:c r="AF16" s="133"/>
      <x:c r="AG16" s="133"/>
      <x:c r="AH16" s="134"/>
      <x:c r="AI16" s="152" t="s">
        <x:v>77</x:v>
      </x:c>
      <x:c r="AJ16" s="125"/>
      <x:c r="AK16" s="125"/>
      <x:c r="AL16" s="125"/>
      <x:c r="AM16" s="125"/>
      <x:c r="AN16" s="153"/>
      <x:c r="AO16" s="135" t="s">
        <x:v>78</x:v>
      </x:c>
      <x:c r="AP16" s="133"/>
      <x:c r="AQ16" s="133"/>
      <x:c r="AR16" s="133"/>
      <x:c r="AS16" s="133"/>
      <x:c r="AT16" s="136"/>
    </x:row>
    <x:row r="17" spans="2:46" ht="26.75">
      <x:c r="B17" s="143"/>
      <x:c r="C17" s="144"/>
      <x:c r="D17" s="146"/>
      <x:c r="E17" s="147"/>
      <x:c r="F17" s="61" t="s">
        <x:v>54</x:v>
      </x:c>
      <x:c r="G17" s="62" t="s">
        <x:v>56</x:v>
      </x:c>
      <x:c r="H17" s="63" t="s">
        <x:v>65</x:v>
      </x:c>
      <x:c r="I17" s="64" t="s">
        <x:v>54</x:v>
      </x:c>
      <x:c r="J17" s="65" t="s">
        <x:v>56</x:v>
      </x:c>
      <x:c r="K17" s="66" t="s">
        <x:v>58</x:v>
      </x:c>
      <x:c r="L17" s="67" t="s">
        <x:v>57</x:v>
      </x:c>
      <x:c r="M17" s="68" t="s">
        <x:v>15</x:v>
      </x:c>
      <x:c r="N17" s="68" t="s">
        <x:v>25</x:v>
      </x:c>
      <x:c r="O17" s="68" t="s">
        <x:v>17</x:v>
      </x:c>
      <x:c r="P17" s="68" t="s">
        <x:v>20</x:v>
      </x:c>
      <x:c r="Q17" s="69" t="s">
        <x:v>58</x:v>
      </x:c>
      <x:c r="R17" s="70" t="s">
        <x:v>57</x:v>
      </x:c>
      <x:c r="S17" s="68" t="s">
        <x:v>15</x:v>
      </x:c>
      <x:c r="T17" s="68" t="s">
        <x:v>25</x:v>
      </x:c>
      <x:c r="U17" s="68" t="s">
        <x:v>17</x:v>
      </x:c>
      <x:c r="V17" s="68" t="s">
        <x:v>20</x:v>
      </x:c>
      <x:c r="W17" s="71" t="s">
        <x:v>58</x:v>
      </x:c>
      <x:c r="X17" s="70" t="s">
        <x:v>57</x:v>
      </x:c>
      <x:c r="Y17" s="68" t="s">
        <x:v>15</x:v>
      </x:c>
      <x:c r="Z17" s="68" t="s">
        <x:v>25</x:v>
      </x:c>
      <x:c r="AA17" s="68" t="s">
        <x:v>17</x:v>
      </x:c>
      <x:c r="AB17" s="68" t="s">
        <x:v>20</x:v>
      </x:c>
      <x:c r="AC17" s="72" t="s">
        <x:v>58</x:v>
      </x:c>
      <x:c r="AD17" s="73" t="s">
        <x:v>57</x:v>
      </x:c>
      <x:c r="AE17" s="74" t="s">
        <x:v>15</x:v>
      </x:c>
      <x:c r="AF17" s="74" t="s">
        <x:v>25</x:v>
      </x:c>
      <x:c r="AG17" s="74" t="s">
        <x:v>17</x:v>
      </x:c>
      <x:c r="AH17" s="74" t="s">
        <x:v>20</x:v>
      </x:c>
      <x:c r="AI17" s="72" t="s">
        <x:v>58</x:v>
      </x:c>
      <x:c r="AJ17" s="73" t="s">
        <x:v>57</x:v>
      </x:c>
      <x:c r="AK17" s="74" t="s">
        <x:v>15</x:v>
      </x:c>
      <x:c r="AL17" s="74" t="s">
        <x:v>25</x:v>
      </x:c>
      <x:c r="AM17" s="74" t="s">
        <x:v>17</x:v>
      </x:c>
      <x:c r="AN17" s="74" t="s">
        <x:v>20</x:v>
      </x:c>
      <x:c r="AO17" s="72" t="s">
        <x:v>58</x:v>
      </x:c>
      <x:c r="AP17" s="75" t="s">
        <x:v>57</x:v>
      </x:c>
      <x:c r="AQ17" s="74" t="s">
        <x:v>15</x:v>
      </x:c>
      <x:c r="AR17" s="74" t="s">
        <x:v>25</x:v>
      </x:c>
      <x:c r="AS17" s="74" t="s">
        <x:v>17</x:v>
      </x:c>
      <x:c r="AT17" s="76" t="s">
        <x:v>20</x:v>
      </x:c>
    </x:row>
    <x:row r="18" spans="2:46">
      <x:c r="B18" s="77">
        <x:v>168000</x:v>
      </x:c>
      <x:c r="C18" s="78" t="s">
        <x:v>11</x:v>
      </x:c>
      <x:c r="D18" s="79">
        <x:f t="shared" ref="D18:D28" si="1">E18/$F$1</x:f>
        <x:v>10.13317892298784</x:v>
      </x:c>
      <x:c r="E18" s="80">
        <x:f>ROUNDUP(IMDIV(B18,$H$1)*$F$1,-3)</x:f>
        <x:v>175000</x:v>
      </x:c>
      <x:c r="F18" s="81">
        <x:f t="shared" ref="F18:F28" si="2">+E18</x:f>
        <x:v>175000</x:v>
      </x:c>
      <x:c r="G18" s="82">
        <x:f t="shared" ref="G18:G28" si="3">+E18</x:f>
        <x:v>175000</x:v>
      </x:c>
      <x:c r="H18" s="83">
        <x:f t="shared" ref="H18:J28" si="4">+E18/2</x:f>
        <x:v>87500</x:v>
      </x:c>
      <x:c r="I18" s="84">
        <x:f t="shared" si="4"/>
        <x:v>87500</x:v>
      </x:c>
      <x:c r="J18" s="85">
        <x:f t="shared" si="4"/>
        <x:v>87500</x:v>
      </x:c>
      <x:c r="K18" s="78" t="s">
        <x:v>60</x:v>
      </x:c>
      <x:c r="L18" s="86">
        <x:v>20000</x:v>
      </x:c>
      <x:c r="M18" s="87">
        <x:f t="shared" ref="M18:M28" si="5">ROUNDDOWN($E18*$J$3,-2)</x:f>
        <x:v>3500</x:v>
      </x:c>
      <x:c r="N18" s="87">
        <x:f t="shared" ref="N18:N28" si="6">ROUNDDOWN($E18*$K$3,-2)</x:f>
        <x:v>5200</x:v>
      </x:c>
      <x:c r="O18" s="87">
        <x:f t="shared" ref="O18:O28" si="7">ROUNDDOWN($E18*$L$3,-2)</x:f>
        <x:v>7000</x:v>
      </x:c>
      <x:c r="P18" s="87">
        <x:f t="shared" ref="P18:P28" si="8">ROUNDDOWN($E18*$M$3,-2)</x:f>
        <x:v>8700</x:v>
      </x:c>
      <x:c r="Q18" s="88" t="s">
        <x:v>60</x:v>
      </x:c>
      <x:c r="R18" s="86">
        <x:v>20000</x:v>
      </x:c>
      <x:c r="S18" s="87">
        <x:f t="shared" ref="S18:S28" si="9">ROUNDDOWN($F18*$J$3,-2)</x:f>
        <x:v>3500</x:v>
      </x:c>
      <x:c r="T18" s="87">
        <x:f t="shared" ref="T18:T28" si="10">ROUNDDOWN($F18*$K$3,-2)</x:f>
        <x:v>5200</x:v>
      </x:c>
      <x:c r="U18" s="87">
        <x:f t="shared" ref="U18:U28" si="11">ROUNDDOWN($F18*$L$3,-2)</x:f>
        <x:v>7000</x:v>
      </x:c>
      <x:c r="V18" s="87">
        <x:f t="shared" ref="V18:V28" si="12">ROUNDDOWN($F18*$M$3,-2)</x:f>
        <x:v>8700</x:v>
      </x:c>
      <x:c r="W18" s="89" t="s">
        <x:v>60</x:v>
      </x:c>
      <x:c r="X18" s="86" t="s">
        <x:v>60</x:v>
      </x:c>
      <x:c r="Y18" s="87">
        <x:f t="shared" ref="Y18:Y28" si="13">ROUNDDOWN($G18*$J$3,-2)</x:f>
        <x:v>3500</x:v>
      </x:c>
      <x:c r="Z18" s="87">
        <x:f t="shared" ref="Z18:Z28" si="14">ROUNDDOWN($G18*$K$3,-2)</x:f>
        <x:v>5200</x:v>
      </x:c>
      <x:c r="AA18" s="87">
        <x:f t="shared" ref="AA18:AA28" si="15">ROUNDDOWN($G18*$L$3,-2)</x:f>
        <x:v>7000</x:v>
      </x:c>
      <x:c r="AB18" s="90">
        <x:f t="shared" ref="AB18:AB28" si="16">ROUNDDOWN($G18*$M$3,-2)</x:f>
        <x:v>8700</x:v>
      </x:c>
      <x:c r="AC18" s="89" t="s">
        <x:v>60</x:v>
      </x:c>
      <x:c r="AD18" s="86">
        <x:v>20000</x:v>
      </x:c>
      <x:c r="AE18" s="87">
        <x:f t="shared" ref="AE18:AE28" si="17">ROUNDDOWN($H18*$J$3,-2)</x:f>
        <x:v>1700</x:v>
      </x:c>
      <x:c r="AF18" s="87">
        <x:f t="shared" ref="AF18:AF28" si="18">ROUNDDOWN($H18*$K$3,-2)</x:f>
        <x:v>2600</x:v>
      </x:c>
      <x:c r="AG18" s="87">
        <x:f t="shared" ref="AG18:AG28" si="19">ROUNDDOWN($H18*$L$3,-2)</x:f>
        <x:v>3500</x:v>
      </x:c>
      <x:c r="AH18" s="87">
        <x:f t="shared" ref="AH18:AH28" si="20">ROUNDDOWN($H18*$M$3,-2)</x:f>
        <x:v>4300</x:v>
      </x:c>
      <x:c r="AI18" s="89" t="s">
        <x:v>60</x:v>
      </x:c>
      <x:c r="AJ18" s="86">
        <x:v>20000</x:v>
      </x:c>
      <x:c r="AK18" s="87">
        <x:f t="shared" ref="AK18:AK28" si="21">ROUNDDOWN($I18*$J$3,-2)</x:f>
        <x:v>1700</x:v>
      </x:c>
      <x:c r="AL18" s="87">
        <x:f t="shared" ref="AL18:AL28" si="22">ROUNDDOWN($I18*$K$3,-2)</x:f>
        <x:v>2600</x:v>
      </x:c>
      <x:c r="AM18" s="87">
        <x:f t="shared" ref="AM18:AM28" si="23">ROUNDDOWN($I18*$L$3,-2)</x:f>
        <x:v>3500</x:v>
      </x:c>
      <x:c r="AN18" s="90">
        <x:f t="shared" ref="AN18:AN28" si="24">ROUNDDOWN($I18*$M$3,-2)</x:f>
        <x:v>4300</x:v>
      </x:c>
      <x:c r="AO18" s="91" t="s">
        <x:v>60</x:v>
      </x:c>
      <x:c r="AP18" s="92" t="s">
        <x:v>60</x:v>
      </x:c>
      <x:c r="AQ18" s="87">
        <x:f t="shared" ref="AQ18:AQ28" si="25">ROUNDDOWN($J18*$J$3,-2)</x:f>
        <x:v>1700</x:v>
      </x:c>
      <x:c r="AR18" s="87">
        <x:f t="shared" ref="AR18:AR28" si="26">ROUNDDOWN($J18*$K$3,-2)</x:f>
        <x:v>2600</x:v>
      </x:c>
      <x:c r="AS18" s="87">
        <x:f t="shared" ref="AS18:AS28" si="27">ROUNDDOWN($J18*$L$3,-2)</x:f>
        <x:v>3500</x:v>
      </x:c>
      <x:c r="AT18" s="93">
        <x:f t="shared" ref="AT18:AT28" si="28">ROUNDDOWN($J18*$M$3,-2)</x:f>
        <x:v>4300</x:v>
      </x:c>
    </x:row>
    <x:row r="19" spans="2:46">
      <x:c r="B19" s="77">
        <x:v>335000</x:v>
      </x:c>
      <x:c r="C19" s="94" t="s">
        <x:v>50</x:v>
      </x:c>
      <x:c r="D19" s="95">
        <x:f t="shared" si="1"/>
        <x:v>20.20845396641575</x:v>
      </x:c>
      <x:c r="E19" s="80">
        <x:f t="shared" ref="E19:E28" si="29">ROUNDUP(IMDIV(B19,$H$1)*$F$1,-3)</x:f>
        <x:v>349000</x:v>
      </x:c>
      <x:c r="F19" s="96">
        <x:f t="shared" si="2"/>
        <x:v>349000</x:v>
      </x:c>
      <x:c r="G19" s="97">
        <x:f t="shared" si="3"/>
        <x:v>349000</x:v>
      </x:c>
      <x:c r="H19" s="98">
        <x:f t="shared" si="4"/>
        <x:v>174500</x:v>
      </x:c>
      <x:c r="I19" s="99">
        <x:f t="shared" si="4"/>
        <x:v>174500</x:v>
      </x:c>
      <x:c r="J19" s="100">
        <x:f t="shared" si="4"/>
        <x:v>174500</x:v>
      </x:c>
      <x:c r="K19" s="94" t="s">
        <x:v>60</x:v>
      </x:c>
      <x:c r="L19" s="101">
        <x:v>20000</x:v>
      </x:c>
      <x:c r="M19" s="102">
        <x:f t="shared" si="5"/>
        <x:v>6900</x:v>
      </x:c>
      <x:c r="N19" s="102">
        <x:f t="shared" si="6"/>
        <x:v>10400</x:v>
      </x:c>
      <x:c r="O19" s="102">
        <x:f t="shared" si="7"/>
        <x:v>13900</x:v>
      </x:c>
      <x:c r="P19" s="102">
        <x:f t="shared" si="8"/>
        <x:v>17400</x:v>
      </x:c>
      <x:c r="Q19" s="103" t="s">
        <x:v>60</x:v>
      </x:c>
      <x:c r="R19" s="101">
        <x:v>20000</x:v>
      </x:c>
      <x:c r="S19" s="102">
        <x:f t="shared" si="9"/>
        <x:v>6900</x:v>
      </x:c>
      <x:c r="T19" s="102">
        <x:f t="shared" si="10"/>
        <x:v>10400</x:v>
      </x:c>
      <x:c r="U19" s="102">
        <x:f t="shared" si="11"/>
        <x:v>13900</x:v>
      </x:c>
      <x:c r="V19" s="102">
        <x:f t="shared" si="12"/>
        <x:v>17400</x:v>
      </x:c>
      <x:c r="W19" s="104" t="s">
        <x:v>60</x:v>
      </x:c>
      <x:c r="X19" s="101" t="s">
        <x:v>60</x:v>
      </x:c>
      <x:c r="Y19" s="102">
        <x:f t="shared" si="13"/>
        <x:v>6900</x:v>
      </x:c>
      <x:c r="Z19" s="102">
        <x:f t="shared" si="14"/>
        <x:v>10400</x:v>
      </x:c>
      <x:c r="AA19" s="102">
        <x:f t="shared" si="15"/>
        <x:v>13900</x:v>
      </x:c>
      <x:c r="AB19" s="105">
        <x:f t="shared" si="16"/>
        <x:v>17400</x:v>
      </x:c>
      <x:c r="AC19" s="104" t="s">
        <x:v>60</x:v>
      </x:c>
      <x:c r="AD19" s="101">
        <x:v>20000</x:v>
      </x:c>
      <x:c r="AE19" s="102">
        <x:f t="shared" si="17"/>
        <x:v>3400</x:v>
      </x:c>
      <x:c r="AF19" s="102">
        <x:f t="shared" si="18"/>
        <x:v>5200</x:v>
      </x:c>
      <x:c r="AG19" s="102">
        <x:f t="shared" si="19"/>
        <x:v>6900</x:v>
      </x:c>
      <x:c r="AH19" s="102">
        <x:f t="shared" si="20"/>
        <x:v>8700</x:v>
      </x:c>
      <x:c r="AI19" s="104" t="s">
        <x:v>60</x:v>
      </x:c>
      <x:c r="AJ19" s="101">
        <x:v>20000</x:v>
      </x:c>
      <x:c r="AK19" s="102">
        <x:f t="shared" si="21"/>
        <x:v>3400</x:v>
      </x:c>
      <x:c r="AL19" s="102">
        <x:f t="shared" si="22"/>
        <x:v>5200</x:v>
      </x:c>
      <x:c r="AM19" s="102">
        <x:f t="shared" si="23"/>
        <x:v>6900</x:v>
      </x:c>
      <x:c r="AN19" s="105">
        <x:f t="shared" si="24"/>
        <x:v>8700</x:v>
      </x:c>
      <x:c r="AO19" s="106" t="s">
        <x:v>60</x:v>
      </x:c>
      <x:c r="AP19" s="107" t="s">
        <x:v>60</x:v>
      </x:c>
      <x:c r="AQ19" s="102">
        <x:f t="shared" si="25"/>
        <x:v>3400</x:v>
      </x:c>
      <x:c r="AR19" s="102">
        <x:f t="shared" si="26"/>
        <x:v>5200</x:v>
      </x:c>
      <x:c r="AS19" s="102">
        <x:f t="shared" si="27"/>
        <x:v>6900</x:v>
      </x:c>
      <x:c r="AT19" s="108">
        <x:f t="shared" si="28"/>
        <x:v>8700</x:v>
      </x:c>
    </x:row>
    <x:row r="20" spans="2:46">
      <x:c r="B20" s="77">
        <x:v>335000</x:v>
      </x:c>
      <x:c r="C20" s="94" t="s">
        <x:v>52</x:v>
      </x:c>
      <x:c r="D20" s="95">
        <x:f t="shared" si="1"/>
        <x:v>20.20845396641575</x:v>
      </x:c>
      <x:c r="E20" s="80">
        <x:f t="shared" si="29"/>
        <x:v>349000</x:v>
      </x:c>
      <x:c r="F20" s="96">
        <x:f t="shared" si="2"/>
        <x:v>349000</x:v>
      </x:c>
      <x:c r="G20" s="97">
        <x:f t="shared" si="3"/>
        <x:v>349000</x:v>
      </x:c>
      <x:c r="H20" s="98">
        <x:f t="shared" si="4"/>
        <x:v>174500</x:v>
      </x:c>
      <x:c r="I20" s="99">
        <x:f t="shared" si="4"/>
        <x:v>174500</x:v>
      </x:c>
      <x:c r="J20" s="100">
        <x:f t="shared" si="4"/>
        <x:v>174500</x:v>
      </x:c>
      <x:c r="K20" s="94" t="s">
        <x:v>60</x:v>
      </x:c>
      <x:c r="L20" s="101">
        <x:v>20000</x:v>
      </x:c>
      <x:c r="M20" s="102">
        <x:f t="shared" si="5"/>
        <x:v>6900</x:v>
      </x:c>
      <x:c r="N20" s="102">
        <x:f t="shared" si="6"/>
        <x:v>10400</x:v>
      </x:c>
      <x:c r="O20" s="102">
        <x:f t="shared" si="7"/>
        <x:v>13900</x:v>
      </x:c>
      <x:c r="P20" s="102">
        <x:f t="shared" si="8"/>
        <x:v>17400</x:v>
      </x:c>
      <x:c r="Q20" s="103" t="s">
        <x:v>60</x:v>
      </x:c>
      <x:c r="R20" s="101">
        <x:v>20000</x:v>
      </x:c>
      <x:c r="S20" s="102">
        <x:f t="shared" si="9"/>
        <x:v>6900</x:v>
      </x:c>
      <x:c r="T20" s="102">
        <x:f t="shared" si="10"/>
        <x:v>10400</x:v>
      </x:c>
      <x:c r="U20" s="102">
        <x:f t="shared" si="11"/>
        <x:v>13900</x:v>
      </x:c>
      <x:c r="V20" s="102">
        <x:f t="shared" si="12"/>
        <x:v>17400</x:v>
      </x:c>
      <x:c r="W20" s="104" t="s">
        <x:v>60</x:v>
      </x:c>
      <x:c r="X20" s="101" t="s">
        <x:v>60</x:v>
      </x:c>
      <x:c r="Y20" s="102">
        <x:f t="shared" si="13"/>
        <x:v>6900</x:v>
      </x:c>
      <x:c r="Z20" s="102">
        <x:f t="shared" si="14"/>
        <x:v>10400</x:v>
      </x:c>
      <x:c r="AA20" s="102">
        <x:f t="shared" si="15"/>
        <x:v>13900</x:v>
      </x:c>
      <x:c r="AB20" s="105">
        <x:f t="shared" si="16"/>
        <x:v>17400</x:v>
      </x:c>
      <x:c r="AC20" s="104" t="s">
        <x:v>60</x:v>
      </x:c>
      <x:c r="AD20" s="101">
        <x:v>20000</x:v>
      </x:c>
      <x:c r="AE20" s="102">
        <x:f t="shared" si="17"/>
        <x:v>3400</x:v>
      </x:c>
      <x:c r="AF20" s="102">
        <x:f t="shared" si="18"/>
        <x:v>5200</x:v>
      </x:c>
      <x:c r="AG20" s="102">
        <x:f t="shared" si="19"/>
        <x:v>6900</x:v>
      </x:c>
      <x:c r="AH20" s="102">
        <x:f t="shared" si="20"/>
        <x:v>8700</x:v>
      </x:c>
      <x:c r="AI20" s="104" t="s">
        <x:v>60</x:v>
      </x:c>
      <x:c r="AJ20" s="101">
        <x:v>20000</x:v>
      </x:c>
      <x:c r="AK20" s="102">
        <x:f t="shared" si="21"/>
        <x:v>3400</x:v>
      </x:c>
      <x:c r="AL20" s="102">
        <x:f t="shared" si="22"/>
        <x:v>5200</x:v>
      </x:c>
      <x:c r="AM20" s="102">
        <x:f t="shared" si="23"/>
        <x:v>6900</x:v>
      </x:c>
      <x:c r="AN20" s="105">
        <x:f t="shared" si="24"/>
        <x:v>8700</x:v>
      </x:c>
      <x:c r="AO20" s="106" t="s">
        <x:v>60</x:v>
      </x:c>
      <x:c r="AP20" s="107" t="s">
        <x:v>60</x:v>
      </x:c>
      <x:c r="AQ20" s="102">
        <x:f t="shared" si="25"/>
        <x:v>3400</x:v>
      </x:c>
      <x:c r="AR20" s="102">
        <x:f t="shared" si="26"/>
        <x:v>5200</x:v>
      </x:c>
      <x:c r="AS20" s="102">
        <x:f t="shared" si="27"/>
        <x:v>6900</x:v>
      </x:c>
      <x:c r="AT20" s="108">
        <x:f t="shared" si="28"/>
        <x:v>8700</x:v>
      </x:c>
    </x:row>
    <x:row r="21" spans="2:46">
      <x:c r="B21" s="109">
        <x:v>503000</x:v>
      </x:c>
      <x:c r="C21" s="94" t="s">
        <x:v>45</x:v>
      </x:c>
      <x:c r="D21" s="95">
        <x:f t="shared" si="1"/>
        <x:v>30.283729009843661</x:v>
      </x:c>
      <x:c r="E21" s="80">
        <x:f t="shared" si="29"/>
        <x:v>523000</x:v>
      </x:c>
      <x:c r="F21" s="96">
        <x:f t="shared" si="2"/>
        <x:v>523000</x:v>
      </x:c>
      <x:c r="G21" s="97">
        <x:f t="shared" si="3"/>
        <x:v>523000</x:v>
      </x:c>
      <x:c r="H21" s="98">
        <x:f t="shared" si="4"/>
        <x:v>261500</x:v>
      </x:c>
      <x:c r="I21" s="99">
        <x:f t="shared" si="4"/>
        <x:v>261500</x:v>
      </x:c>
      <x:c r="J21" s="100">
        <x:f t="shared" si="4"/>
        <x:v>261500</x:v>
      </x:c>
      <x:c r="K21" s="94" t="s">
        <x:v>60</x:v>
      </x:c>
      <x:c r="L21" s="101">
        <x:v>20000</x:v>
      </x:c>
      <x:c r="M21" s="102">
        <x:f t="shared" si="5"/>
        <x:v>10400</x:v>
      </x:c>
      <x:c r="N21" s="102">
        <x:f t="shared" si="6"/>
        <x:v>15600</x:v>
      </x:c>
      <x:c r="O21" s="102">
        <x:f t="shared" si="7"/>
        <x:v>20900</x:v>
      </x:c>
      <x:c r="P21" s="102">
        <x:f t="shared" si="8"/>
        <x:v>26100</x:v>
      </x:c>
      <x:c r="Q21" s="103" t="s">
        <x:v>60</x:v>
      </x:c>
      <x:c r="R21" s="101">
        <x:v>20000</x:v>
      </x:c>
      <x:c r="S21" s="102">
        <x:f t="shared" si="9"/>
        <x:v>10400</x:v>
      </x:c>
      <x:c r="T21" s="102">
        <x:f t="shared" si="10"/>
        <x:v>15600</x:v>
      </x:c>
      <x:c r="U21" s="102">
        <x:f t="shared" si="11"/>
        <x:v>20900</x:v>
      </x:c>
      <x:c r="V21" s="102">
        <x:f t="shared" si="12"/>
        <x:v>26100</x:v>
      </x:c>
      <x:c r="W21" s="104" t="s">
        <x:v>60</x:v>
      </x:c>
      <x:c r="X21" s="101" t="s">
        <x:v>60</x:v>
      </x:c>
      <x:c r="Y21" s="102">
        <x:f t="shared" si="13"/>
        <x:v>10400</x:v>
      </x:c>
      <x:c r="Z21" s="102">
        <x:f t="shared" si="14"/>
        <x:v>15600</x:v>
      </x:c>
      <x:c r="AA21" s="102">
        <x:f t="shared" si="15"/>
        <x:v>20900</x:v>
      </x:c>
      <x:c r="AB21" s="105">
        <x:f t="shared" si="16"/>
        <x:v>26100</x:v>
      </x:c>
      <x:c r="AC21" s="104" t="s">
        <x:v>60</x:v>
      </x:c>
      <x:c r="AD21" s="101">
        <x:v>20000</x:v>
      </x:c>
      <x:c r="AE21" s="102">
        <x:f t="shared" si="17"/>
        <x:v>5200</x:v>
      </x:c>
      <x:c r="AF21" s="102">
        <x:f t="shared" si="18"/>
        <x:v>7800</x:v>
      </x:c>
      <x:c r="AG21" s="102">
        <x:f t="shared" si="19"/>
        <x:v>10400</x:v>
      </x:c>
      <x:c r="AH21" s="102">
        <x:f t="shared" si="20"/>
        <x:v>13000</x:v>
      </x:c>
      <x:c r="AI21" s="104" t="s">
        <x:v>60</x:v>
      </x:c>
      <x:c r="AJ21" s="101">
        <x:v>20000</x:v>
      </x:c>
      <x:c r="AK21" s="102">
        <x:f t="shared" si="21"/>
        <x:v>5200</x:v>
      </x:c>
      <x:c r="AL21" s="102">
        <x:f t="shared" si="22"/>
        <x:v>7800</x:v>
      </x:c>
      <x:c r="AM21" s="102">
        <x:f t="shared" si="23"/>
        <x:v>10400</x:v>
      </x:c>
      <x:c r="AN21" s="105">
        <x:f t="shared" si="24"/>
        <x:v>13000</x:v>
      </x:c>
      <x:c r="AO21" s="106" t="s">
        <x:v>60</x:v>
      </x:c>
      <x:c r="AP21" s="107" t="s">
        <x:v>60</x:v>
      </x:c>
      <x:c r="AQ21" s="102">
        <x:f t="shared" si="25"/>
        <x:v>5200</x:v>
      </x:c>
      <x:c r="AR21" s="102">
        <x:f t="shared" si="26"/>
        <x:v>7800</x:v>
      </x:c>
      <x:c r="AS21" s="102">
        <x:f t="shared" si="27"/>
        <x:v>10400</x:v>
      </x:c>
      <x:c r="AT21" s="108">
        <x:f t="shared" si="28"/>
        <x:v>13000</x:v>
      </x:c>
    </x:row>
    <x:row r="22" spans="2:46">
      <x:c r="B22" s="110">
        <x:v>503000</x:v>
      </x:c>
      <x:c r="C22" s="94" t="s">
        <x:v>38</x:v>
      </x:c>
      <x:c r="D22" s="95">
        <x:f t="shared" si="1"/>
        <x:v>30.283729009843661</x:v>
      </x:c>
      <x:c r="E22" s="80">
        <x:f t="shared" si="29"/>
        <x:v>523000</x:v>
      </x:c>
      <x:c r="F22" s="96">
        <x:f t="shared" si="2"/>
        <x:v>523000</x:v>
      </x:c>
      <x:c r="G22" s="97">
        <x:f t="shared" si="3"/>
        <x:v>523000</x:v>
      </x:c>
      <x:c r="H22" s="98">
        <x:f t="shared" si="4"/>
        <x:v>261500</x:v>
      </x:c>
      <x:c r="I22" s="99">
        <x:f t="shared" si="4"/>
        <x:v>261500</x:v>
      </x:c>
      <x:c r="J22" s="100">
        <x:f t="shared" si="4"/>
        <x:v>261500</x:v>
      </x:c>
      <x:c r="K22" s="94" t="s">
        <x:v>60</x:v>
      </x:c>
      <x:c r="L22" s="101">
        <x:v>20000</x:v>
      </x:c>
      <x:c r="M22" s="102">
        <x:f t="shared" si="5"/>
        <x:v>10400</x:v>
      </x:c>
      <x:c r="N22" s="102">
        <x:f t="shared" si="6"/>
        <x:v>15600</x:v>
      </x:c>
      <x:c r="O22" s="102">
        <x:f t="shared" si="7"/>
        <x:v>20900</x:v>
      </x:c>
      <x:c r="P22" s="102">
        <x:f t="shared" si="8"/>
        <x:v>26100</x:v>
      </x:c>
      <x:c r="Q22" s="103" t="s">
        <x:v>60</x:v>
      </x:c>
      <x:c r="R22" s="101">
        <x:v>20000</x:v>
      </x:c>
      <x:c r="S22" s="102">
        <x:f t="shared" si="9"/>
        <x:v>10400</x:v>
      </x:c>
      <x:c r="T22" s="102">
        <x:f t="shared" si="10"/>
        <x:v>15600</x:v>
      </x:c>
      <x:c r="U22" s="102">
        <x:f t="shared" si="11"/>
        <x:v>20900</x:v>
      </x:c>
      <x:c r="V22" s="102">
        <x:f t="shared" si="12"/>
        <x:v>26100</x:v>
      </x:c>
      <x:c r="W22" s="104" t="s">
        <x:v>60</x:v>
      </x:c>
      <x:c r="X22" s="101" t="s">
        <x:v>60</x:v>
      </x:c>
      <x:c r="Y22" s="102">
        <x:f t="shared" si="13"/>
        <x:v>10400</x:v>
      </x:c>
      <x:c r="Z22" s="102">
        <x:f t="shared" si="14"/>
        <x:v>15600</x:v>
      </x:c>
      <x:c r="AA22" s="102">
        <x:f t="shared" si="15"/>
        <x:v>20900</x:v>
      </x:c>
      <x:c r="AB22" s="105">
        <x:f t="shared" si="16"/>
        <x:v>26100</x:v>
      </x:c>
      <x:c r="AC22" s="104" t="s">
        <x:v>60</x:v>
      </x:c>
      <x:c r="AD22" s="101">
        <x:v>20000</x:v>
      </x:c>
      <x:c r="AE22" s="102">
        <x:f t="shared" si="17"/>
        <x:v>5200</x:v>
      </x:c>
      <x:c r="AF22" s="102">
        <x:f t="shared" si="18"/>
        <x:v>7800</x:v>
      </x:c>
      <x:c r="AG22" s="102">
        <x:f t="shared" si="19"/>
        <x:v>10400</x:v>
      </x:c>
      <x:c r="AH22" s="102">
        <x:f t="shared" si="20"/>
        <x:v>13000</x:v>
      </x:c>
      <x:c r="AI22" s="104" t="s">
        <x:v>60</x:v>
      </x:c>
      <x:c r="AJ22" s="101">
        <x:v>20000</x:v>
      </x:c>
      <x:c r="AK22" s="102">
        <x:f t="shared" si="21"/>
        <x:v>5200</x:v>
      </x:c>
      <x:c r="AL22" s="102">
        <x:f t="shared" si="22"/>
        <x:v>7800</x:v>
      </x:c>
      <x:c r="AM22" s="102">
        <x:f t="shared" si="23"/>
        <x:v>10400</x:v>
      </x:c>
      <x:c r="AN22" s="105">
        <x:f t="shared" si="24"/>
        <x:v>13000</x:v>
      </x:c>
      <x:c r="AO22" s="106" t="s">
        <x:v>60</x:v>
      </x:c>
      <x:c r="AP22" s="107" t="s">
        <x:v>60</x:v>
      </x:c>
      <x:c r="AQ22" s="102">
        <x:f t="shared" si="25"/>
        <x:v>5200</x:v>
      </x:c>
      <x:c r="AR22" s="102">
        <x:f t="shared" si="26"/>
        <x:v>7800</x:v>
      </x:c>
      <x:c r="AS22" s="102">
        <x:f t="shared" si="27"/>
        <x:v>10400</x:v>
      </x:c>
      <x:c r="AT22" s="108">
        <x:f t="shared" si="28"/>
        <x:v>13000</x:v>
      </x:c>
    </x:row>
    <x:row r="23" spans="2:46">
      <x:c r="B23" s="109">
        <x:v>503000</x:v>
      </x:c>
      <x:c r="C23" s="94" t="s">
        <x:v>42</x:v>
      </x:c>
      <x:c r="D23" s="95">
        <x:f t="shared" si="1"/>
        <x:v>30.283729009843661</x:v>
      </x:c>
      <x:c r="E23" s="80">
        <x:f t="shared" si="29"/>
        <x:v>523000</x:v>
      </x:c>
      <x:c r="F23" s="96">
        <x:f t="shared" si="2"/>
        <x:v>523000</x:v>
      </x:c>
      <x:c r="G23" s="97">
        <x:f t="shared" si="3"/>
        <x:v>523000</x:v>
      </x:c>
      <x:c r="H23" s="98">
        <x:f t="shared" si="4"/>
        <x:v>261500</x:v>
      </x:c>
      <x:c r="I23" s="99">
        <x:f t="shared" si="4"/>
        <x:v>261500</x:v>
      </x:c>
      <x:c r="J23" s="100">
        <x:f t="shared" si="4"/>
        <x:v>261500</x:v>
      </x:c>
      <x:c r="K23" s="94" t="s">
        <x:v>60</x:v>
      </x:c>
      <x:c r="L23" s="101">
        <x:v>20000</x:v>
      </x:c>
      <x:c r="M23" s="102">
        <x:f t="shared" si="5"/>
        <x:v>10400</x:v>
      </x:c>
      <x:c r="N23" s="102">
        <x:f t="shared" si="6"/>
        <x:v>15600</x:v>
      </x:c>
      <x:c r="O23" s="102">
        <x:f t="shared" si="7"/>
        <x:v>20900</x:v>
      </x:c>
      <x:c r="P23" s="102">
        <x:f t="shared" si="8"/>
        <x:v>26100</x:v>
      </x:c>
      <x:c r="Q23" s="103" t="s">
        <x:v>60</x:v>
      </x:c>
      <x:c r="R23" s="101">
        <x:v>20000</x:v>
      </x:c>
      <x:c r="S23" s="102">
        <x:f t="shared" si="9"/>
        <x:v>10400</x:v>
      </x:c>
      <x:c r="T23" s="102">
        <x:f t="shared" si="10"/>
        <x:v>15600</x:v>
      </x:c>
      <x:c r="U23" s="102">
        <x:f t="shared" si="11"/>
        <x:v>20900</x:v>
      </x:c>
      <x:c r="V23" s="102">
        <x:f t="shared" si="12"/>
        <x:v>26100</x:v>
      </x:c>
      <x:c r="W23" s="104" t="s">
        <x:v>60</x:v>
      </x:c>
      <x:c r="X23" s="101" t="s">
        <x:v>60</x:v>
      </x:c>
      <x:c r="Y23" s="102">
        <x:f t="shared" si="13"/>
        <x:v>10400</x:v>
      </x:c>
      <x:c r="Z23" s="102">
        <x:f t="shared" si="14"/>
        <x:v>15600</x:v>
      </x:c>
      <x:c r="AA23" s="102">
        <x:f t="shared" si="15"/>
        <x:v>20900</x:v>
      </x:c>
      <x:c r="AB23" s="105">
        <x:f t="shared" si="16"/>
        <x:v>26100</x:v>
      </x:c>
      <x:c r="AC23" s="104" t="s">
        <x:v>60</x:v>
      </x:c>
      <x:c r="AD23" s="101">
        <x:v>20000</x:v>
      </x:c>
      <x:c r="AE23" s="102">
        <x:f t="shared" si="17"/>
        <x:v>5200</x:v>
      </x:c>
      <x:c r="AF23" s="102">
        <x:f t="shared" si="18"/>
        <x:v>7800</x:v>
      </x:c>
      <x:c r="AG23" s="102">
        <x:f t="shared" si="19"/>
        <x:v>10400</x:v>
      </x:c>
      <x:c r="AH23" s="102">
        <x:f t="shared" si="20"/>
        <x:v>13000</x:v>
      </x:c>
      <x:c r="AI23" s="104" t="s">
        <x:v>60</x:v>
      </x:c>
      <x:c r="AJ23" s="101">
        <x:v>20000</x:v>
      </x:c>
      <x:c r="AK23" s="102">
        <x:f t="shared" si="21"/>
        <x:v>5200</x:v>
      </x:c>
      <x:c r="AL23" s="102">
        <x:f t="shared" si="22"/>
        <x:v>7800</x:v>
      </x:c>
      <x:c r="AM23" s="102">
        <x:f t="shared" si="23"/>
        <x:v>10400</x:v>
      </x:c>
      <x:c r="AN23" s="105">
        <x:f t="shared" si="24"/>
        <x:v>13000</x:v>
      </x:c>
      <x:c r="AO23" s="106" t="s">
        <x:v>60</x:v>
      </x:c>
      <x:c r="AP23" s="107" t="s">
        <x:v>60</x:v>
      </x:c>
      <x:c r="AQ23" s="102">
        <x:f t="shared" si="25"/>
        <x:v>5200</x:v>
      </x:c>
      <x:c r="AR23" s="102">
        <x:f t="shared" si="26"/>
        <x:v>7800</x:v>
      </x:c>
      <x:c r="AS23" s="102">
        <x:f t="shared" si="27"/>
        <x:v>10400</x:v>
      </x:c>
      <x:c r="AT23" s="108">
        <x:f t="shared" si="28"/>
        <x:v>13000</x:v>
      </x:c>
    </x:row>
    <x:row r="24" spans="2:46">
      <x:c r="B24" s="77">
        <x:v>503000</x:v>
      </x:c>
      <x:c r="C24" s="94" t="s">
        <x:v>53</x:v>
      </x:c>
      <x:c r="D24" s="95">
        <x:f t="shared" si="1"/>
        <x:v>30.283729009843661</x:v>
      </x:c>
      <x:c r="E24" s="80">
        <x:f t="shared" si="29"/>
        <x:v>523000</x:v>
      </x:c>
      <x:c r="F24" s="96">
        <x:f t="shared" si="2"/>
        <x:v>523000</x:v>
      </x:c>
      <x:c r="G24" s="97">
        <x:f t="shared" si="3"/>
        <x:v>523000</x:v>
      </x:c>
      <x:c r="H24" s="98">
        <x:f t="shared" si="4"/>
        <x:v>261500</x:v>
      </x:c>
      <x:c r="I24" s="99">
        <x:f t="shared" si="4"/>
        <x:v>261500</x:v>
      </x:c>
      <x:c r="J24" s="100">
        <x:f t="shared" si="4"/>
        <x:v>261500</x:v>
      </x:c>
      <x:c r="K24" s="94" t="s">
        <x:v>60</x:v>
      </x:c>
      <x:c r="L24" s="101">
        <x:v>20000</x:v>
      </x:c>
      <x:c r="M24" s="102">
        <x:f t="shared" si="5"/>
        <x:v>10400</x:v>
      </x:c>
      <x:c r="N24" s="102">
        <x:f t="shared" si="6"/>
        <x:v>15600</x:v>
      </x:c>
      <x:c r="O24" s="102">
        <x:f t="shared" si="7"/>
        <x:v>20900</x:v>
      </x:c>
      <x:c r="P24" s="102">
        <x:f t="shared" si="8"/>
        <x:v>26100</x:v>
      </x:c>
      <x:c r="Q24" s="103" t="s">
        <x:v>60</x:v>
      </x:c>
      <x:c r="R24" s="101">
        <x:v>20000</x:v>
      </x:c>
      <x:c r="S24" s="102">
        <x:f t="shared" si="9"/>
        <x:v>10400</x:v>
      </x:c>
      <x:c r="T24" s="102">
        <x:f t="shared" si="10"/>
        <x:v>15600</x:v>
      </x:c>
      <x:c r="U24" s="102">
        <x:f t="shared" si="11"/>
        <x:v>20900</x:v>
      </x:c>
      <x:c r="V24" s="102">
        <x:f t="shared" si="12"/>
        <x:v>26100</x:v>
      </x:c>
      <x:c r="W24" s="104" t="s">
        <x:v>60</x:v>
      </x:c>
      <x:c r="X24" s="101" t="s">
        <x:v>60</x:v>
      </x:c>
      <x:c r="Y24" s="102">
        <x:f t="shared" si="13"/>
        <x:v>10400</x:v>
      </x:c>
      <x:c r="Z24" s="102">
        <x:f t="shared" si="14"/>
        <x:v>15600</x:v>
      </x:c>
      <x:c r="AA24" s="102">
        <x:f t="shared" si="15"/>
        <x:v>20900</x:v>
      </x:c>
      <x:c r="AB24" s="105">
        <x:f t="shared" si="16"/>
        <x:v>26100</x:v>
      </x:c>
      <x:c r="AC24" s="104" t="s">
        <x:v>60</x:v>
      </x:c>
      <x:c r="AD24" s="101">
        <x:v>20000</x:v>
      </x:c>
      <x:c r="AE24" s="102">
        <x:f t="shared" si="17"/>
        <x:v>5200</x:v>
      </x:c>
      <x:c r="AF24" s="102">
        <x:f t="shared" si="18"/>
        <x:v>7800</x:v>
      </x:c>
      <x:c r="AG24" s="102">
        <x:f t="shared" si="19"/>
        <x:v>10400</x:v>
      </x:c>
      <x:c r="AH24" s="102">
        <x:f t="shared" si="20"/>
        <x:v>13000</x:v>
      </x:c>
      <x:c r="AI24" s="104" t="s">
        <x:v>60</x:v>
      </x:c>
      <x:c r="AJ24" s="101">
        <x:v>20000</x:v>
      </x:c>
      <x:c r="AK24" s="102">
        <x:f t="shared" si="21"/>
        <x:v>5200</x:v>
      </x:c>
      <x:c r="AL24" s="102">
        <x:f t="shared" si="22"/>
        <x:v>7800</x:v>
      </x:c>
      <x:c r="AM24" s="102">
        <x:f t="shared" si="23"/>
        <x:v>10400</x:v>
      </x:c>
      <x:c r="AN24" s="105">
        <x:f t="shared" si="24"/>
        <x:v>13000</x:v>
      </x:c>
      <x:c r="AO24" s="106" t="s">
        <x:v>60</x:v>
      </x:c>
      <x:c r="AP24" s="107" t="s">
        <x:v>60</x:v>
      </x:c>
      <x:c r="AQ24" s="102">
        <x:f t="shared" si="25"/>
        <x:v>5200</x:v>
      </x:c>
      <x:c r="AR24" s="102">
        <x:f t="shared" si="26"/>
        <x:v>7800</x:v>
      </x:c>
      <x:c r="AS24" s="102">
        <x:f t="shared" si="27"/>
        <x:v>10400</x:v>
      </x:c>
      <x:c r="AT24" s="108">
        <x:f t="shared" si="28"/>
        <x:v>13000</x:v>
      </x:c>
    </x:row>
    <x:row r="25" spans="2:46">
      <x:c r="B25" s="77">
        <x:v>669000</x:v>
      </x:c>
      <x:c r="C25" s="94" t="s">
        <x:v>79</x:v>
      </x:c>
      <x:c r="D25" s="95">
        <x:f t="shared" si="1"/>
        <x:v>40.301100173711639</x:v>
      </x:c>
      <x:c r="E25" s="80">
        <x:f t="shared" si="29"/>
        <x:v>696000</x:v>
      </x:c>
      <x:c r="F25" s="96">
        <x:f t="shared" si="2"/>
        <x:v>696000</x:v>
      </x:c>
      <x:c r="G25" s="97">
        <x:f t="shared" si="3"/>
        <x:v>696000</x:v>
      </x:c>
      <x:c r="H25" s="98">
        <x:f t="shared" si="4"/>
        <x:v>348000</x:v>
      </x:c>
      <x:c r="I25" s="99">
        <x:f t="shared" si="4"/>
        <x:v>348000</x:v>
      </x:c>
      <x:c r="J25" s="100">
        <x:f t="shared" si="4"/>
        <x:v>348000</x:v>
      </x:c>
      <x:c r="K25" s="94" t="s">
        <x:v>60</x:v>
      </x:c>
      <x:c r="L25" s="101">
        <x:v>20000</x:v>
      </x:c>
      <x:c r="M25" s="102">
        <x:f t="shared" si="5"/>
        <x:v>13900</x:v>
      </x:c>
      <x:c r="N25" s="102">
        <x:f t="shared" si="6"/>
        <x:v>20800</x:v>
      </x:c>
      <x:c r="O25" s="102">
        <x:f t="shared" si="7"/>
        <x:v>27800</x:v>
      </x:c>
      <x:c r="P25" s="102">
        <x:f t="shared" si="8"/>
        <x:v>34800</x:v>
      </x:c>
      <x:c r="Q25" s="103" t="s">
        <x:v>60</x:v>
      </x:c>
      <x:c r="R25" s="101">
        <x:v>20000</x:v>
      </x:c>
      <x:c r="S25" s="102">
        <x:f t="shared" si="9"/>
        <x:v>13900</x:v>
      </x:c>
      <x:c r="T25" s="102">
        <x:f t="shared" si="10"/>
        <x:v>20800</x:v>
      </x:c>
      <x:c r="U25" s="102">
        <x:f t="shared" si="11"/>
        <x:v>27800</x:v>
      </x:c>
      <x:c r="V25" s="102">
        <x:f t="shared" si="12"/>
        <x:v>34800</x:v>
      </x:c>
      <x:c r="W25" s="104" t="s">
        <x:v>60</x:v>
      </x:c>
      <x:c r="X25" s="101" t="s">
        <x:v>60</x:v>
      </x:c>
      <x:c r="Y25" s="102">
        <x:f t="shared" si="13"/>
        <x:v>13900</x:v>
      </x:c>
      <x:c r="Z25" s="102">
        <x:f t="shared" si="14"/>
        <x:v>20800</x:v>
      </x:c>
      <x:c r="AA25" s="102">
        <x:f t="shared" si="15"/>
        <x:v>27800</x:v>
      </x:c>
      <x:c r="AB25" s="105">
        <x:f t="shared" si="16"/>
        <x:v>34800</x:v>
      </x:c>
      <x:c r="AC25" s="104" t="s">
        <x:v>60</x:v>
      </x:c>
      <x:c r="AD25" s="101">
        <x:v>20000</x:v>
      </x:c>
      <x:c r="AE25" s="102">
        <x:f t="shared" si="17"/>
        <x:v>6900</x:v>
      </x:c>
      <x:c r="AF25" s="102">
        <x:f t="shared" si="18"/>
        <x:v>10400</x:v>
      </x:c>
      <x:c r="AG25" s="102">
        <x:f t="shared" si="19"/>
        <x:v>13900</x:v>
      </x:c>
      <x:c r="AH25" s="102">
        <x:f t="shared" si="20"/>
        <x:v>17400</x:v>
      </x:c>
      <x:c r="AI25" s="104" t="s">
        <x:v>60</x:v>
      </x:c>
      <x:c r="AJ25" s="101">
        <x:v>20000</x:v>
      </x:c>
      <x:c r="AK25" s="102">
        <x:f t="shared" si="21"/>
        <x:v>6900</x:v>
      </x:c>
      <x:c r="AL25" s="102">
        <x:f t="shared" si="22"/>
        <x:v>10400</x:v>
      </x:c>
      <x:c r="AM25" s="102">
        <x:f t="shared" si="23"/>
        <x:v>13900</x:v>
      </x:c>
      <x:c r="AN25" s="105">
        <x:f t="shared" si="24"/>
        <x:v>17400</x:v>
      </x:c>
      <x:c r="AO25" s="106" t="s">
        <x:v>60</x:v>
      </x:c>
      <x:c r="AP25" s="107" t="s">
        <x:v>60</x:v>
      </x:c>
      <x:c r="AQ25" s="102">
        <x:f t="shared" si="25"/>
        <x:v>6900</x:v>
      </x:c>
      <x:c r="AR25" s="102">
        <x:f t="shared" si="26"/>
        <x:v>10400</x:v>
      </x:c>
      <x:c r="AS25" s="102">
        <x:f t="shared" si="27"/>
        <x:v>13900</x:v>
      </x:c>
      <x:c r="AT25" s="108">
        <x:f t="shared" si="28"/>
        <x:v>17400</x:v>
      </x:c>
    </x:row>
    <x:row r="26" spans="2:46">
      <x:c r="B26" s="77">
        <x:v>669000</x:v>
      </x:c>
      <x:c r="C26" s="94" t="s">
        <x:v>40</x:v>
      </x:c>
      <x:c r="D26" s="95">
        <x:f t="shared" si="1"/>
        <x:v>40.301100173711639</x:v>
      </x:c>
      <x:c r="E26" s="80">
        <x:f t="shared" si="29"/>
        <x:v>696000</x:v>
      </x:c>
      <x:c r="F26" s="96">
        <x:f t="shared" si="2"/>
        <x:v>696000</x:v>
      </x:c>
      <x:c r="G26" s="97">
        <x:f t="shared" si="3"/>
        <x:v>696000</x:v>
      </x:c>
      <x:c r="H26" s="98">
        <x:f t="shared" si="4"/>
        <x:v>348000</x:v>
      </x:c>
      <x:c r="I26" s="99">
        <x:f t="shared" si="4"/>
        <x:v>348000</x:v>
      </x:c>
      <x:c r="J26" s="100">
        <x:f t="shared" si="4"/>
        <x:v>348000</x:v>
      </x:c>
      <x:c r="K26" s="94" t="s">
        <x:v>60</x:v>
      </x:c>
      <x:c r="L26" s="101">
        <x:v>20000</x:v>
      </x:c>
      <x:c r="M26" s="102">
        <x:f t="shared" si="5"/>
        <x:v>13900</x:v>
      </x:c>
      <x:c r="N26" s="102">
        <x:f t="shared" si="6"/>
        <x:v>20800</x:v>
      </x:c>
      <x:c r="O26" s="102">
        <x:f t="shared" si="7"/>
        <x:v>27800</x:v>
      </x:c>
      <x:c r="P26" s="102">
        <x:f t="shared" si="8"/>
        <x:v>34800</x:v>
      </x:c>
      <x:c r="Q26" s="103" t="s">
        <x:v>60</x:v>
      </x:c>
      <x:c r="R26" s="101">
        <x:v>20000</x:v>
      </x:c>
      <x:c r="S26" s="102">
        <x:f t="shared" si="9"/>
        <x:v>13900</x:v>
      </x:c>
      <x:c r="T26" s="102">
        <x:f t="shared" si="10"/>
        <x:v>20800</x:v>
      </x:c>
      <x:c r="U26" s="102">
        <x:f t="shared" si="11"/>
        <x:v>27800</x:v>
      </x:c>
      <x:c r="V26" s="102">
        <x:f t="shared" si="12"/>
        <x:v>34800</x:v>
      </x:c>
      <x:c r="W26" s="104" t="s">
        <x:v>60</x:v>
      </x:c>
      <x:c r="X26" s="101" t="s">
        <x:v>60</x:v>
      </x:c>
      <x:c r="Y26" s="102">
        <x:f t="shared" si="13"/>
        <x:v>13900</x:v>
      </x:c>
      <x:c r="Z26" s="102">
        <x:f t="shared" si="14"/>
        <x:v>20800</x:v>
      </x:c>
      <x:c r="AA26" s="102">
        <x:f t="shared" si="15"/>
        <x:v>27800</x:v>
      </x:c>
      <x:c r="AB26" s="105">
        <x:f t="shared" si="16"/>
        <x:v>34800</x:v>
      </x:c>
      <x:c r="AC26" s="104" t="s">
        <x:v>60</x:v>
      </x:c>
      <x:c r="AD26" s="101">
        <x:v>20000</x:v>
      </x:c>
      <x:c r="AE26" s="102">
        <x:f t="shared" si="17"/>
        <x:v>6900</x:v>
      </x:c>
      <x:c r="AF26" s="102">
        <x:f t="shared" si="18"/>
        <x:v>10400</x:v>
      </x:c>
      <x:c r="AG26" s="102">
        <x:f t="shared" si="19"/>
        <x:v>13900</x:v>
      </x:c>
      <x:c r="AH26" s="102">
        <x:f t="shared" si="20"/>
        <x:v>17400</x:v>
      </x:c>
      <x:c r="AI26" s="104" t="s">
        <x:v>60</x:v>
      </x:c>
      <x:c r="AJ26" s="101">
        <x:v>20000</x:v>
      </x:c>
      <x:c r="AK26" s="102">
        <x:f t="shared" si="21"/>
        <x:v>6900</x:v>
      </x:c>
      <x:c r="AL26" s="102">
        <x:f t="shared" si="22"/>
        <x:v>10400</x:v>
      </x:c>
      <x:c r="AM26" s="102">
        <x:f t="shared" si="23"/>
        <x:v>13900</x:v>
      </x:c>
      <x:c r="AN26" s="105">
        <x:f t="shared" si="24"/>
        <x:v>17400</x:v>
      </x:c>
      <x:c r="AO26" s="106" t="s">
        <x:v>60</x:v>
      </x:c>
      <x:c r="AP26" s="107" t="s">
        <x:v>60</x:v>
      </x:c>
      <x:c r="AQ26" s="102">
        <x:f t="shared" si="25"/>
        <x:v>6900</x:v>
      </x:c>
      <x:c r="AR26" s="102">
        <x:f t="shared" si="26"/>
        <x:v>10400</x:v>
      </x:c>
      <x:c r="AS26" s="102">
        <x:f t="shared" si="27"/>
        <x:v>13900</x:v>
      </x:c>
      <x:c r="AT26" s="108">
        <x:f t="shared" si="28"/>
        <x:v>17400</x:v>
      </x:c>
    </x:row>
    <x:row r="27" spans="2:46">
      <x:c r="B27" s="77">
        <x:v>669000</x:v>
      </x:c>
      <x:c r="C27" s="94" t="s">
        <x:v>80</x:v>
      </x:c>
      <x:c r="D27" s="95">
        <x:f t="shared" si="1"/>
        <x:v>40.301100173711639</x:v>
      </x:c>
      <x:c r="E27" s="80">
        <x:f t="shared" si="29"/>
        <x:v>696000</x:v>
      </x:c>
      <x:c r="F27" s="96">
        <x:f t="shared" si="2"/>
        <x:v>696000</x:v>
      </x:c>
      <x:c r="G27" s="97">
        <x:f t="shared" si="3"/>
        <x:v>696000</x:v>
      </x:c>
      <x:c r="H27" s="98">
        <x:f t="shared" si="4"/>
        <x:v>348000</x:v>
      </x:c>
      <x:c r="I27" s="99">
        <x:f t="shared" si="4"/>
        <x:v>348000</x:v>
      </x:c>
      <x:c r="J27" s="100">
        <x:f t="shared" si="4"/>
        <x:v>348000</x:v>
      </x:c>
      <x:c r="K27" s="94" t="s">
        <x:v>60</x:v>
      </x:c>
      <x:c r="L27" s="101">
        <x:v>20000</x:v>
      </x:c>
      <x:c r="M27" s="102">
        <x:f t="shared" si="5"/>
        <x:v>13900</x:v>
      </x:c>
      <x:c r="N27" s="102">
        <x:f t="shared" si="6"/>
        <x:v>20800</x:v>
      </x:c>
      <x:c r="O27" s="102">
        <x:f t="shared" si="7"/>
        <x:v>27800</x:v>
      </x:c>
      <x:c r="P27" s="102">
        <x:f t="shared" si="8"/>
        <x:v>34800</x:v>
      </x:c>
      <x:c r="Q27" s="103" t="s">
        <x:v>60</x:v>
      </x:c>
      <x:c r="R27" s="101">
        <x:v>20000</x:v>
      </x:c>
      <x:c r="S27" s="102">
        <x:f t="shared" si="9"/>
        <x:v>13900</x:v>
      </x:c>
      <x:c r="T27" s="102">
        <x:f t="shared" si="10"/>
        <x:v>20800</x:v>
      </x:c>
      <x:c r="U27" s="102">
        <x:f t="shared" si="11"/>
        <x:v>27800</x:v>
      </x:c>
      <x:c r="V27" s="102">
        <x:f t="shared" si="12"/>
        <x:v>34800</x:v>
      </x:c>
      <x:c r="W27" s="104" t="s">
        <x:v>60</x:v>
      </x:c>
      <x:c r="X27" s="101" t="s">
        <x:v>60</x:v>
      </x:c>
      <x:c r="Y27" s="102">
        <x:f t="shared" si="13"/>
        <x:v>13900</x:v>
      </x:c>
      <x:c r="Z27" s="102">
        <x:f t="shared" si="14"/>
        <x:v>20800</x:v>
      </x:c>
      <x:c r="AA27" s="102">
        <x:f t="shared" si="15"/>
        <x:v>27800</x:v>
      </x:c>
      <x:c r="AB27" s="105">
        <x:f t="shared" si="16"/>
        <x:v>34800</x:v>
      </x:c>
      <x:c r="AC27" s="104" t="s">
        <x:v>60</x:v>
      </x:c>
      <x:c r="AD27" s="101">
        <x:v>20000</x:v>
      </x:c>
      <x:c r="AE27" s="102">
        <x:f t="shared" si="17"/>
        <x:v>6900</x:v>
      </x:c>
      <x:c r="AF27" s="102">
        <x:f t="shared" si="18"/>
        <x:v>10400</x:v>
      </x:c>
      <x:c r="AG27" s="102">
        <x:f t="shared" si="19"/>
        <x:v>13900</x:v>
      </x:c>
      <x:c r="AH27" s="102">
        <x:f t="shared" si="20"/>
        <x:v>17400</x:v>
      </x:c>
      <x:c r="AI27" s="104" t="s">
        <x:v>60</x:v>
      </x:c>
      <x:c r="AJ27" s="101">
        <x:v>20000</x:v>
      </x:c>
      <x:c r="AK27" s="102">
        <x:f t="shared" si="21"/>
        <x:v>6900</x:v>
      </x:c>
      <x:c r="AL27" s="102">
        <x:f t="shared" si="22"/>
        <x:v>10400</x:v>
      </x:c>
      <x:c r="AM27" s="102">
        <x:f t="shared" si="23"/>
        <x:v>13900</x:v>
      </x:c>
      <x:c r="AN27" s="105">
        <x:f t="shared" si="24"/>
        <x:v>17400</x:v>
      </x:c>
      <x:c r="AO27" s="106" t="s">
        <x:v>60</x:v>
      </x:c>
      <x:c r="AP27" s="107" t="s">
        <x:v>60</x:v>
      </x:c>
      <x:c r="AQ27" s="102">
        <x:f t="shared" si="25"/>
        <x:v>6900</x:v>
      </x:c>
      <x:c r="AR27" s="102">
        <x:f t="shared" si="26"/>
        <x:v>10400</x:v>
      </x:c>
      <x:c r="AS27" s="102">
        <x:f t="shared" si="27"/>
        <x:v>13900</x:v>
      </x:c>
      <x:c r="AT27" s="108">
        <x:f t="shared" si="28"/>
        <x:v>17400</x:v>
      </x:c>
    </x:row>
    <x:row r="28" spans="2:46">
      <x:c r="B28" s="77">
        <x:v>669000</x:v>
      </x:c>
      <x:c r="C28" s="94" t="s">
        <x:v>43</x:v>
      </x:c>
      <x:c r="D28" s="95">
        <x:f t="shared" si="1"/>
        <x:v>40.301100173711639</x:v>
      </x:c>
      <x:c r="E28" s="80">
        <x:f t="shared" si="29"/>
        <x:v>696000</x:v>
      </x:c>
      <x:c r="F28" s="96">
        <x:f t="shared" si="2"/>
        <x:v>696000</x:v>
      </x:c>
      <x:c r="G28" s="97">
        <x:f t="shared" si="3"/>
        <x:v>696000</x:v>
      </x:c>
      <x:c r="H28" s="98">
        <x:f t="shared" si="4"/>
        <x:v>348000</x:v>
      </x:c>
      <x:c r="I28" s="99">
        <x:f t="shared" si="4"/>
        <x:v>348000</x:v>
      </x:c>
      <x:c r="J28" s="100">
        <x:f t="shared" si="4"/>
        <x:v>348000</x:v>
      </x:c>
      <x:c r="K28" s="94" t="s">
        <x:v>60</x:v>
      </x:c>
      <x:c r="L28" s="101">
        <x:v>20000</x:v>
      </x:c>
      <x:c r="M28" s="102">
        <x:f t="shared" si="5"/>
        <x:v>13900</x:v>
      </x:c>
      <x:c r="N28" s="102">
        <x:f t="shared" si="6"/>
        <x:v>20800</x:v>
      </x:c>
      <x:c r="O28" s="102">
        <x:f t="shared" si="7"/>
        <x:v>27800</x:v>
      </x:c>
      <x:c r="P28" s="102">
        <x:f t="shared" si="8"/>
        <x:v>34800</x:v>
      </x:c>
      <x:c r="Q28" s="103" t="s">
        <x:v>60</x:v>
      </x:c>
      <x:c r="R28" s="101">
        <x:v>20000</x:v>
      </x:c>
      <x:c r="S28" s="102">
        <x:f t="shared" si="9"/>
        <x:v>13900</x:v>
      </x:c>
      <x:c r="T28" s="102">
        <x:f t="shared" si="10"/>
        <x:v>20800</x:v>
      </x:c>
      <x:c r="U28" s="102">
        <x:f t="shared" si="11"/>
        <x:v>27800</x:v>
      </x:c>
      <x:c r="V28" s="102">
        <x:f t="shared" si="12"/>
        <x:v>34800</x:v>
      </x:c>
      <x:c r="W28" s="104" t="s">
        <x:v>60</x:v>
      </x:c>
      <x:c r="X28" s="101" t="s">
        <x:v>60</x:v>
      </x:c>
      <x:c r="Y28" s="102">
        <x:f t="shared" si="13"/>
        <x:v>13900</x:v>
      </x:c>
      <x:c r="Z28" s="102">
        <x:f t="shared" si="14"/>
        <x:v>20800</x:v>
      </x:c>
      <x:c r="AA28" s="102">
        <x:f t="shared" si="15"/>
        <x:v>27800</x:v>
      </x:c>
      <x:c r="AB28" s="105">
        <x:f t="shared" si="16"/>
        <x:v>34800</x:v>
      </x:c>
      <x:c r="AC28" s="104" t="s">
        <x:v>60</x:v>
      </x:c>
      <x:c r="AD28" s="101">
        <x:v>20000</x:v>
      </x:c>
      <x:c r="AE28" s="102">
        <x:f t="shared" si="17"/>
        <x:v>6900</x:v>
      </x:c>
      <x:c r="AF28" s="102">
        <x:f t="shared" si="18"/>
        <x:v>10400</x:v>
      </x:c>
      <x:c r="AG28" s="102">
        <x:f t="shared" si="19"/>
        <x:v>13900</x:v>
      </x:c>
      <x:c r="AH28" s="102">
        <x:f t="shared" si="20"/>
        <x:v>17400</x:v>
      </x:c>
      <x:c r="AI28" s="104" t="s">
        <x:v>60</x:v>
      </x:c>
      <x:c r="AJ28" s="101">
        <x:v>20000</x:v>
      </x:c>
      <x:c r="AK28" s="102">
        <x:f t="shared" si="21"/>
        <x:v>6900</x:v>
      </x:c>
      <x:c r="AL28" s="102">
        <x:f t="shared" si="22"/>
        <x:v>10400</x:v>
      </x:c>
      <x:c r="AM28" s="102">
        <x:f t="shared" si="23"/>
        <x:v>13900</x:v>
      </x:c>
      <x:c r="AN28" s="105">
        <x:f t="shared" si="24"/>
        <x:v>17400</x:v>
      </x:c>
      <x:c r="AO28" s="106" t="s">
        <x:v>60</x:v>
      </x:c>
      <x:c r="AP28" s="107" t="s">
        <x:v>60</x:v>
      </x:c>
      <x:c r="AQ28" s="102">
        <x:f t="shared" si="25"/>
        <x:v>6900</x:v>
      </x:c>
      <x:c r="AR28" s="102">
        <x:f t="shared" si="26"/>
        <x:v>10400</x:v>
      </x:c>
      <x:c r="AS28" s="102">
        <x:f t="shared" si="27"/>
        <x:v>13900</x:v>
      </x:c>
      <x:c r="AT28" s="108">
        <x:f t="shared" si="28"/>
        <x:v>17400</x:v>
      </x:c>
    </x:row>
  </x:sheetData>
  <x:mergeCells count="27">
    <x:mergeCell ref="C6:J6"/>
    <x:mergeCell ref="K6:AT6"/>
    <x:mergeCell ref="C7:C8"/>
    <x:mergeCell ref="D7:D8"/>
    <x:mergeCell ref="E7:E8"/>
    <x:mergeCell ref="F7:G7"/>
    <x:mergeCell ref="H7:J7"/>
    <x:mergeCell ref="K7:P7"/>
    <x:mergeCell ref="Q7:V7"/>
    <x:mergeCell ref="W7:AB7"/>
    <x:mergeCell ref="AC7:AH7"/>
    <x:mergeCell ref="AI7:AN7"/>
    <x:mergeCell ref="AO7:AT7"/>
    <x:mergeCell ref="C15:J15"/>
    <x:mergeCell ref="K15:AT15"/>
    <x:mergeCell ref="B16:B17"/>
    <x:mergeCell ref="C16:C17"/>
    <x:mergeCell ref="D16:D17"/>
    <x:mergeCell ref="E16:E17"/>
    <x:mergeCell ref="F16:G16"/>
    <x:mergeCell ref="H16:J16"/>
    <x:mergeCell ref="K16:P16"/>
    <x:mergeCell ref="Q16:V16"/>
    <x:mergeCell ref="W16:AB16"/>
    <x:mergeCell ref="AC16:AH16"/>
    <x:mergeCell ref="AI16:AN16"/>
    <x:mergeCell ref="AO16:AT16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BG72"/>
  <x:sheetViews>
    <x:sheetView topLeftCell="L1" zoomScaleNormal="75" zoomScaleSheetLayoutView="100" workbookViewId="0">
      <x:selection activeCell="Q5" activeCellId="0" sqref="Q5:Q5"/>
    </x:sheetView>
  </x:sheetViews>
  <x:sheetFormatPr defaultColWidth="8.796875" defaultRowHeight="16.39999999999999857891"/>
  <x:cols>
    <x:col min="3" max="20" width="10.77734375" customWidth="1"/>
    <x:col min="21" max="21" width="11.1015625" customWidth="1"/>
    <x:col min="22" max="22" width="12.3984375" customWidth="1"/>
  </x:cols>
  <x:sheetData>
    <x:row r="1" spans="1:59" ht="52.70000000000000284217">
      <x:c r="A1" s="22"/>
      <x:c r="B1" s="22"/>
      <x:c r="C1" s="111" t="s">
        <x:v>16</x:v>
      </x:c>
      <x:c r="D1" s="2" t="s">
        <x:v>72</x:v>
      </x:c>
      <x:c r="E1" s="2" t="s">
        <x:v>70</x:v>
      </x:c>
      <x:c r="F1" s="2" t="s">
        <x:v>69</x:v>
      </x:c>
      <x:c r="G1" s="2" t="s">
        <x:v>68</x:v>
      </x:c>
      <x:c r="H1" s="22"/>
      <x:c r="I1" s="111" t="s">
        <x:v>89</x:v>
      </x:c>
      <x:c r="J1" s="111" t="s">
        <x:v>105</x:v>
      </x:c>
      <x:c r="K1" s="111" t="s">
        <x:v>50</x:v>
      </x:c>
      <x:c r="L1" s="111" t="s">
        <x:v>104</x:v>
      </x:c>
      <x:c r="M1" s="111" t="s">
        <x:v>90</x:v>
      </x:c>
      <x:c r="N1" s="111" t="s">
        <x:v>52</x:v>
      </x:c>
      <x:c r="O1" s="111" t="s">
        <x:v>7</x:v>
      </x:c>
      <x:c r="P1" s="111" t="s">
        <x:v>100</x:v>
      </x:c>
      <x:c r="Q1" s="111" t="s">
        <x:v>11</x:v>
      </x:c>
      <x:c r="R1" s="111" t="s">
        <x:v>99</x:v>
      </x:c>
      <x:c r="S1" s="111" t="s">
        <x:v>93</x:v>
      </x:c>
      <x:c r="T1" s="111" t="s">
        <x:v>0</x:v>
      </x:c>
      <x:c r="U1" s="22"/>
      <x:c r="V1" s="24" t="s">
        <x:v>3</x:v>
      </x:c>
      <x:c r="W1" s="24" t="s">
        <x:v>2</x:v>
      </x:c>
      <x:c r="X1" s="24" t="s">
        <x:v>1</x:v>
      </x:c>
      <x:c r="Y1" s="24" t="s">
        <x:v>4</x:v>
      </x:c>
      <x:c r="Z1" s="156"/>
      <x:c r="AA1" s="156"/>
      <x:c r="AB1" s="157"/>
      <x:c r="AC1" s="22"/>
      <x:c r="AD1" s="22"/>
      <x:c r="AE1" s="157"/>
      <x:c r="AF1" s="157"/>
      <x:c r="AG1" s="157"/>
      <x:c r="AH1" s="157"/>
      <x:c r="AI1" s="22"/>
      <x:c r="AJ1" s="22"/>
      <x:c r="AK1" s="158"/>
      <x:c r="AL1" s="158"/>
      <x:c r="AM1" s="158"/>
      <x:c r="AN1" s="156"/>
      <x:c r="AO1" s="22"/>
      <x:c r="AP1" s="22"/>
      <x:c r="AQ1" s="156"/>
      <x:c r="AR1" s="159"/>
      <x:c r="AS1" s="159"/>
      <x:c r="AT1" s="22"/>
      <x:c r="AU1" s="22"/>
      <x:c r="AV1" s="22"/>
      <x:c r="AW1" s="156"/>
      <x:c r="AX1" s="159"/>
      <x:c r="AY1" s="159"/>
      <x:c r="AZ1" s="22"/>
      <x:c r="BA1" s="22"/>
      <x:c r="BB1" s="22"/>
      <x:c r="BC1" s="22"/>
      <x:c r="BD1" s="22"/>
      <x:c r="BE1" s="22"/>
      <x:c r="BF1" s="22"/>
      <x:c r="BG1" s="22"/>
    </x:row>
    <x:row r="2" spans="1:59">
      <x:c r="A2" s="22"/>
      <x:c r="B2" s="22"/>
      <x:c r="C2" s="111" t="s">
        <x:v>9</x:v>
      </x:c>
      <x:c r="D2" s="160">
        <x:v>2041000</x:v>
      </x:c>
      <x:c r="E2" s="160">
        <x:v>1627000</x:v>
      </x:c>
      <x:c r="F2" s="160">
        <x:v>1230000</x:v>
      </x:c>
      <x:c r="G2" s="160">
        <x:v>815000</x:v>
      </x:c>
      <x:c r="H2" s="22"/>
      <x:c r="I2" s="161">
        <x:v>4718000</x:v>
      </x:c>
      <x:c r="J2" s="161">
        <x:v>1385000</x:v>
      </x:c>
      <x:c r="K2" s="161">
        <x:v>349000</x:v>
      </x:c>
      <x:c r="L2" s="161">
        <x:v>4718000</x:v>
      </x:c>
      <x:c r="M2" s="161">
        <x:v>1385000</x:v>
      </x:c>
      <x:c r="N2" s="161">
        <x:v>349000</x:v>
      </x:c>
      <x:c r="O2" s="161">
        <x:v>1385000</x:v>
      </x:c>
      <x:c r="P2" s="161">
        <x:v>349000</x:v>
      </x:c>
      <x:c r="Q2" s="161">
        <x:v>175000</x:v>
      </x:c>
      <x:c r="R2" s="161">
        <x:v>694000</x:v>
      </x:c>
      <x:c r="S2" s="161">
        <x:v>349000</x:v>
      </x:c>
      <x:c r="T2" s="161">
        <x:v>1264000</x:v>
      </x:c>
      <x:c r="U2" s="22"/>
      <x:c r="V2" s="21">
        <x:v>0.040000000000000002</x:v>
      </x:c>
      <x:c r="W2" s="21">
        <x:v>0.059999999999999998</x:v>
      </x:c>
      <x:c r="X2" s="21">
        <x:v>0.080000000000000004</x:v>
      </x:c>
      <x:c r="Y2" s="162">
        <x:v>0.10000000000000001</x:v>
      </x:c>
      <x:c r="Z2" s="156"/>
      <x:c r="AA2" s="156"/>
      <x:c r="AB2" s="157"/>
      <x:c r="AC2" s="22"/>
      <x:c r="AD2" s="22"/>
      <x:c r="AE2" s="157"/>
      <x:c r="AF2" s="157"/>
      <x:c r="AG2" s="157"/>
      <x:c r="AH2" s="157"/>
      <x:c r="AI2" s="22"/>
      <x:c r="AJ2" s="22"/>
      <x:c r="AK2" s="158"/>
      <x:c r="AL2" s="158"/>
      <x:c r="AM2" s="158"/>
      <x:c r="AN2" s="156"/>
      <x:c r="AO2" s="22"/>
      <x:c r="AP2" s="22"/>
      <x:c r="AQ2" s="156"/>
      <x:c r="AR2" s="159"/>
      <x:c r="AS2" s="159"/>
      <x:c r="AT2" s="22"/>
      <x:c r="AU2" s="22"/>
      <x:c r="AV2" s="22"/>
      <x:c r="AW2" s="156"/>
      <x:c r="AX2" s="159"/>
      <x:c r="AY2" s="159"/>
      <x:c r="AZ2" s="22"/>
      <x:c r="BA2" s="22"/>
      <x:c r="BB2" s="22"/>
      <x:c r="BC2" s="22"/>
      <x:c r="BD2" s="22"/>
      <x:c r="BE2" s="22"/>
      <x:c r="BF2" s="22"/>
      <x:c r="BG2" s="22"/>
    </x:row>
    <x:row r="3" spans="1:59">
      <x:c r="A3" s="22"/>
      <x:c r="B3" s="22"/>
      <x:c r="C3" s="22"/>
      <x:c r="D3" s="22"/>
      <x:c r="E3" s="22"/>
      <x:c r="F3" s="22"/>
      <x:c r="G3" s="22"/>
      <x:c r="H3" s="22"/>
      <x:c r="I3" s="22"/>
      <x:c r="J3" s="22"/>
      <x:c r="K3" s="163"/>
      <x:c r="L3" s="164"/>
      <x:c r="M3" s="164"/>
      <x:c r="N3" s="12"/>
      <x:c r="O3" s="12"/>
      <x:c r="P3" s="156"/>
      <x:c r="Q3" s="156"/>
      <x:c r="R3" s="156"/>
      <x:c r="S3" s="156"/>
      <x:c r="T3" s="156"/>
      <x:c r="U3" s="156"/>
      <x:c r="V3" s="156"/>
      <x:c r="W3" s="156"/>
      <x:c r="X3" s="156"/>
      <x:c r="Y3" s="156"/>
      <x:c r="Z3" s="156"/>
      <x:c r="AA3" s="156"/>
      <x:c r="AB3" s="156"/>
      <x:c r="AC3" s="23"/>
      <x:c r="AD3" s="23"/>
      <x:c r="AE3" s="156"/>
      <x:c r="AF3" s="156"/>
      <x:c r="AG3" s="156"/>
      <x:c r="AH3" s="156"/>
      <x:c r="AI3" s="22"/>
      <x:c r="AJ3" s="22"/>
      <x:c r="AK3" s="158"/>
      <x:c r="AL3" s="158"/>
      <x:c r="AM3" s="158"/>
      <x:c r="AN3" s="156"/>
      <x:c r="AO3" s="22"/>
      <x:c r="AP3" s="22"/>
      <x:c r="AQ3" s="156"/>
      <x:c r="AR3" s="159"/>
      <x:c r="AS3" s="159"/>
      <x:c r="AT3" s="22"/>
      <x:c r="AU3" s="22"/>
      <x:c r="AV3" s="22"/>
      <x:c r="AW3" s="156"/>
      <x:c r="AX3" s="159"/>
      <x:c r="AY3" s="159"/>
      <x:c r="AZ3" s="22"/>
      <x:c r="BA3" s="22"/>
      <x:c r="BB3" s="22"/>
      <x:c r="BC3" s="22"/>
      <x:c r="BD3" s="22"/>
      <x:c r="BE3" s="22"/>
      <x:c r="BF3" s="22"/>
      <x:c r="BG3" s="22"/>
    </x:row>
    <x:row r="4" spans="1:59" ht="29.14999999999999857891">
      <x:c r="A4" s="22"/>
      <x:c r="B4" s="165" t="s">
        <x:v>107</x:v>
      </x:c>
      <x:c r="C4" s="165"/>
      <x:c r="D4" s="165"/>
      <x:c r="E4" s="165"/>
      <x:c r="F4" s="165"/>
      <x:c r="G4" s="165"/>
      <x:c r="H4" s="165"/>
      <x:c r="I4" s="165"/>
      <x:c r="J4" s="165"/>
      <x:c r="K4" s="165"/>
      <x:c r="L4" s="165"/>
      <x:c r="M4" s="165"/>
      <x:c r="N4" s="165"/>
      <x:c r="O4" s="165"/>
      <x:c r="P4" s="166" t="s">
        <x:v>10</x:v>
      </x:c>
      <x:c r="Q4" s="167">
        <x:v>17270</x:v>
      </x:c>
      <x:c r="R4" s="156"/>
      <x:c r="S4" s="168" t="s">
        <x:v>26</x:v>
      </x:c>
      <x:c r="T4" s="169">
        <x:v>3089062</x:v>
      </x:c>
      <x:c r="U4" s="170">
        <x:f>ROUNDDOWN(T4*0.07,-2)</x:f>
        <x:v>216200</x:v>
      </x:c>
      <x:c r="V4" s="157" t="s">
        <x:v>49</x:v>
      </x:c>
      <x:c r="W4" s="166" t="s">
        <x:v>98</x:v>
      </x:c>
      <x:c r="X4" s="167">
        <x:v>379000</x:v>
      </x:c>
      <x:c r="Y4" s="156"/>
      <x:c r="Z4" s="156"/>
      <x:c r="AA4" s="156"/>
      <x:c r="AB4" s="157"/>
      <x:c r="AC4" s="22"/>
      <x:c r="AD4" s="22"/>
      <x:c r="AE4" s="157"/>
      <x:c r="AF4" s="157"/>
      <x:c r="AG4" s="157"/>
      <x:c r="AH4" s="157"/>
      <x:c r="AI4" s="22"/>
      <x:c r="AJ4" s="22"/>
      <x:c r="AK4" s="158"/>
      <x:c r="AL4" s="158"/>
      <x:c r="AM4" s="158"/>
      <x:c r="AN4" s="156"/>
      <x:c r="AO4" s="22"/>
      <x:c r="AP4" s="22"/>
      <x:c r="AQ4" s="156"/>
      <x:c r="AR4" s="159"/>
      <x:c r="AS4" s="159"/>
      <x:c r="AT4" s="22"/>
      <x:c r="AU4" s="22"/>
      <x:c r="AV4" s="22"/>
      <x:c r="AW4" s="156"/>
      <x:c r="AX4" s="159"/>
      <x:c r="AY4" s="159"/>
      <x:c r="AZ4" s="22"/>
      <x:c r="BA4" s="22"/>
      <x:c r="BB4" s="22"/>
      <x:c r="BC4" s="22"/>
      <x:c r="BD4" s="22"/>
      <x:c r="BE4" s="22"/>
      <x:c r="BF4" s="22"/>
      <x:c r="BG4" s="22"/>
    </x:row>
    <x:row r="5" spans="1:59" ht="22.05000000000000071054">
      <x:c r="A5" s="22"/>
      <x:c r="B5" s="171" t="s">
        <x:v>81</x:v>
      </x:c>
      <x:c r="C5" s="171"/>
      <x:c r="D5" s="171"/>
      <x:c r="E5" s="171"/>
      <x:c r="F5" s="171"/>
      <x:c r="G5" s="172"/>
      <x:c r="H5" s="172"/>
      <x:c r="I5" s="172"/>
      <x:c r="J5" s="172"/>
      <x:c r="K5" s="172"/>
      <x:c r="L5" s="172"/>
      <x:c r="M5" s="172"/>
      <x:c r="N5" s="172"/>
      <x:c r="O5" s="173"/>
      <x:c r="P5" s="156"/>
      <x:c r="Q5" s="157"/>
      <x:c r="R5" s="156"/>
      <x:c r="S5" s="156"/>
      <x:c r="T5" s="174"/>
      <x:c r="U5" s="174"/>
      <x:c r="V5" s="174"/>
      <x:c r="W5" s="157"/>
      <x:c r="X5" s="157"/>
      <x:c r="Y5" s="156"/>
      <x:c r="Z5" s="156"/>
      <x:c r="AA5" s="156"/>
      <x:c r="AB5" s="157"/>
      <x:c r="AC5" s="22"/>
      <x:c r="AD5" s="22"/>
      <x:c r="AE5" s="157"/>
      <x:c r="AF5" s="157"/>
      <x:c r="AG5" s="157"/>
      <x:c r="AH5" s="157"/>
      <x:c r="AI5" s="22"/>
      <x:c r="AJ5" s="22"/>
      <x:c r="AK5" s="158"/>
      <x:c r="AL5" s="158"/>
      <x:c r="AM5" s="158"/>
      <x:c r="AN5" s="156"/>
      <x:c r="AO5" s="22"/>
      <x:c r="AP5" s="22"/>
      <x:c r="AQ5" s="156"/>
      <x:c r="AR5" s="159"/>
      <x:c r="AS5" s="159"/>
      <x:c r="AT5" s="22"/>
      <x:c r="AU5" s="22"/>
      <x:c r="AV5" s="22"/>
      <x:c r="AW5" s="156"/>
      <x:c r="AX5" s="159"/>
      <x:c r="AY5" s="159"/>
      <x:c r="AZ5" s="22"/>
      <x:c r="BA5" s="22"/>
      <x:c r="BB5" s="22"/>
      <x:c r="BC5" s="22"/>
      <x:c r="BD5" s="22"/>
      <x:c r="BE5" s="22"/>
      <x:c r="BF5" s="22"/>
      <x:c r="BG5" s="22"/>
    </x:row>
    <x:row r="6" spans="1:59" ht="19.25">
      <x:c r="A6" s="22"/>
      <x:c r="B6" s="175" t="s">
        <x:v>46</x:v>
      </x:c>
      <x:c r="C6" s="175"/>
      <x:c r="D6" s="175"/>
      <x:c r="E6" s="175"/>
      <x:c r="F6" s="175"/>
      <x:c r="G6" s="175"/>
      <x:c r="H6" s="175"/>
      <x:c r="I6" s="175"/>
      <x:c r="J6" s="175"/>
      <x:c r="K6" s="175"/>
      <x:c r="L6" s="175"/>
      <x:c r="M6" s="175"/>
      <x:c r="N6" s="175"/>
      <x:c r="O6" s="175"/>
      <x:c r="P6" s="176"/>
      <x:c r="Q6" s="176"/>
      <x:c r="R6" s="176"/>
      <x:c r="S6" s="176"/>
      <x:c r="T6" s="176"/>
      <x:c r="U6" s="176"/>
      <x:c r="V6" s="176"/>
      <x:c r="W6" s="22"/>
      <x:c r="X6" s="157"/>
      <x:c r="Y6" s="156"/>
      <x:c r="Z6" s="156"/>
      <x:c r="AA6" s="156"/>
      <x:c r="AB6" s="157"/>
      <x:c r="AC6" s="22"/>
      <x:c r="AD6" s="22"/>
      <x:c r="AE6" s="157"/>
      <x:c r="AF6" s="157"/>
      <x:c r="AG6" s="157"/>
      <x:c r="AH6" s="157"/>
      <x:c r="AI6" s="22"/>
      <x:c r="AJ6" s="22"/>
      <x:c r="AK6" s="158"/>
      <x:c r="AL6" s="158"/>
      <x:c r="AM6" s="158"/>
      <x:c r="AN6" s="156"/>
      <x:c r="AO6" s="22"/>
      <x:c r="AP6" s="22"/>
      <x:c r="AQ6" s="156"/>
      <x:c r="AR6" s="159"/>
      <x:c r="AS6" s="159"/>
      <x:c r="AT6" s="22"/>
      <x:c r="AU6" s="22"/>
      <x:c r="AV6" s="22"/>
      <x:c r="AW6" s="156"/>
      <x:c r="AX6" s="159"/>
      <x:c r="AY6" s="159"/>
      <x:c r="AZ6" s="22"/>
      <x:c r="BA6" s="22"/>
      <x:c r="BB6" s="22"/>
      <x:c r="BC6" s="22"/>
      <x:c r="BD6" s="22"/>
      <x:c r="BE6" s="22"/>
      <x:c r="BF6" s="22"/>
      <x:c r="BG6" s="22"/>
    </x:row>
    <x:row r="7" spans="1:59">
      <x:c r="A7" s="22"/>
      <x:c r="B7" s="22"/>
      <x:c r="C7" s="22"/>
      <x:c r="D7" s="22"/>
      <x:c r="E7" s="22"/>
      <x:c r="F7" s="22"/>
      <x:c r="G7" s="22"/>
      <x:c r="H7" s="22"/>
      <x:c r="I7" s="22"/>
      <x:c r="J7" s="22"/>
      <x:c r="K7" s="163"/>
      <x:c r="L7" s="164"/>
      <x:c r="M7" s="164"/>
      <x:c r="N7" s="12"/>
      <x:c r="O7" s="12"/>
      <x:c r="P7" s="156"/>
      <x:c r="Q7" s="157"/>
      <x:c r="R7" s="156"/>
      <x:c r="S7" s="156"/>
      <x:c r="T7" s="156"/>
      <x:c r="U7" s="22"/>
      <x:c r="V7" s="157"/>
      <x:c r="W7" s="157"/>
      <x:c r="X7" s="157"/>
      <x:c r="Y7" s="156"/>
      <x:c r="Z7" s="156"/>
      <x:c r="AA7" s="156"/>
      <x:c r="AB7" s="157"/>
      <x:c r="AC7" s="22"/>
      <x:c r="AD7" s="22"/>
      <x:c r="AE7" s="157"/>
      <x:c r="AF7" s="157"/>
      <x:c r="AG7" s="157"/>
      <x:c r="AH7" s="157"/>
      <x:c r="AI7" s="22"/>
      <x:c r="AJ7" s="22"/>
      <x:c r="AK7" s="158"/>
      <x:c r="AL7" s="158"/>
      <x:c r="AM7" s="158"/>
      <x:c r="AN7" s="156"/>
      <x:c r="AO7" s="22"/>
      <x:c r="AP7" s="22"/>
      <x:c r="AQ7" s="156"/>
      <x:c r="AR7" s="159"/>
      <x:c r="AS7" s="159"/>
      <x:c r="AT7" s="22"/>
      <x:c r="AU7" s="22"/>
      <x:c r="AV7" s="22"/>
      <x:c r="AW7" s="156"/>
      <x:c r="AX7" s="159"/>
      <x:c r="AY7" s="159"/>
      <x:c r="AZ7" s="22"/>
      <x:c r="BA7" s="22"/>
      <x:c r="BB7" s="22"/>
      <x:c r="BC7" s="22"/>
      <x:c r="BD7" s="22"/>
      <x:c r="BE7" s="22"/>
      <x:c r="BF7" s="22"/>
      <x:c r="BG7" s="22"/>
    </x:row>
    <x:row r="8" spans="1:59" ht="22.44999999999999928946">
      <x:c r="A8" s="22"/>
      <x:c r="B8" s="177" t="s">
        <x:v>92</x:v>
      </x:c>
      <x:c r="C8" s="178"/>
      <x:c r="D8" s="178"/>
      <x:c r="E8" s="179"/>
      <x:c r="F8" s="180" t="s">
        <x:v>101</x:v>
      </x:c>
      <x:c r="G8" s="181"/>
      <x:c r="H8" s="181"/>
      <x:c r="I8" s="181"/>
      <x:c r="J8" s="182"/>
      <x:c r="K8" s="183"/>
      <x:c r="L8" s="183"/>
      <x:c r="M8" s="183"/>
      <x:c r="N8" s="183"/>
      <x:c r="O8" s="184"/>
      <x:c r="P8" s="185" t="s">
        <x:v>84</x:v>
      </x:c>
      <x:c r="Q8" s="186"/>
      <x:c r="R8" s="186"/>
      <x:c r="S8" s="187"/>
      <x:c r="T8" s="185" t="s">
        <x:v>83</x:v>
      </x:c>
      <x:c r="U8" s="186"/>
      <x:c r="V8" s="187"/>
      <x:c r="W8" s="188" t="s">
        <x:v>18</x:v>
      </x:c>
      <x:c r="X8" s="188"/>
      <x:c r="Y8" s="188"/>
      <x:c r="Z8" s="188"/>
      <x:c r="AA8" s="188"/>
      <x:c r="AB8" s="188"/>
      <x:c r="AC8" s="188"/>
      <x:c r="AD8" s="188"/>
      <x:c r="AE8" s="188"/>
      <x:c r="AF8" s="188"/>
      <x:c r="AG8" s="188"/>
      <x:c r="AH8" s="188"/>
      <x:c r="AI8" s="188"/>
      <x:c r="AJ8" s="188"/>
      <x:c r="AK8" s="188"/>
      <x:c r="AL8" s="188"/>
      <x:c r="AM8" s="188"/>
      <x:c r="AN8" s="188"/>
      <x:c r="AO8" s="188"/>
      <x:c r="AP8" s="188"/>
      <x:c r="AQ8" s="188"/>
      <x:c r="AR8" s="188"/>
      <x:c r="AS8" s="188"/>
      <x:c r="AT8" s="188"/>
      <x:c r="AU8" s="188"/>
      <x:c r="AV8" s="188"/>
      <x:c r="AW8" s="188"/>
      <x:c r="AX8" s="188"/>
      <x:c r="AY8" s="188"/>
      <x:c r="AZ8" s="188"/>
      <x:c r="BA8" s="188"/>
      <x:c r="BB8" s="188"/>
      <x:c r="BC8" s="188"/>
      <x:c r="BD8" s="188"/>
      <x:c r="BE8" s="188"/>
      <x:c r="BF8" s="189"/>
      <x:c r="BG8" s="22"/>
    </x:row>
    <x:row r="9" spans="1:59">
      <x:c r="A9" s="22"/>
      <x:c r="B9" s="190" t="s">
        <x:v>16</x:v>
      </x:c>
      <x:c r="C9" s="191" t="s">
        <x:v>85</x:v>
      </x:c>
      <x:c r="D9" s="192" t="s">
        <x:v>91</x:v>
      </x:c>
      <x:c r="E9" s="193"/>
      <x:c r="F9" s="190" t="s">
        <x:v>16</x:v>
      </x:c>
      <x:c r="G9" s="191" t="s">
        <x:v>85</x:v>
      </x:c>
      <x:c r="H9" s="192" t="s">
        <x:v>91</x:v>
      </x:c>
      <x:c r="I9" s="194"/>
      <x:c r="J9" s="195" t="s">
        <x:v>24</x:v>
      </x:c>
      <x:c r="K9" s="195" t="s">
        <x:v>94</x:v>
      </x:c>
      <x:c r="L9" s="195" t="s">
        <x:v>85</x:v>
      </x:c>
      <x:c r="M9" s="196" t="s">
        <x:v>91</x:v>
      </x:c>
      <x:c r="N9" s="196"/>
      <x:c r="O9" s="197" t="s">
        <x:v>9</x:v>
      </x:c>
      <x:c r="P9" s="198" t="s">
        <x:v>102</x:v>
      </x:c>
      <x:c r="Q9" s="199"/>
      <x:c r="R9" s="199"/>
      <x:c r="S9" s="200"/>
      <x:c r="T9" s="201" t="s">
        <x:v>19</x:v>
      </x:c>
      <x:c r="U9" s="202"/>
      <x:c r="V9" s="203"/>
      <x:c r="W9" s="201" t="s">
        <x:v>13</x:v>
      </x:c>
      <x:c r="X9" s="202"/>
      <x:c r="Y9" s="202"/>
      <x:c r="Z9" s="202"/>
      <x:c r="AA9" s="202"/>
      <x:c r="AB9" s="202"/>
      <x:c r="AC9" s="204" t="s">
        <x:v>37</x:v>
      </x:c>
      <x:c r="AD9" s="202"/>
      <x:c r="AE9" s="202"/>
      <x:c r="AF9" s="202"/>
      <x:c r="AG9" s="202"/>
      <x:c r="AH9" s="205"/>
      <x:c r="AI9" s="206" t="s">
        <x:v>41</x:v>
      </x:c>
      <x:c r="AJ9" s="202"/>
      <x:c r="AK9" s="202"/>
      <x:c r="AL9" s="202"/>
      <x:c r="AM9" s="202"/>
      <x:c r="AN9" s="205"/>
      <x:c r="AO9" s="207" t="s">
        <x:v>51</x:v>
      </x:c>
      <x:c r="AP9" s="199"/>
      <x:c r="AQ9" s="199"/>
      <x:c r="AR9" s="199"/>
      <x:c r="AS9" s="199"/>
      <x:c r="AT9" s="208"/>
      <x:c r="AU9" s="207" t="s">
        <x:v>77</x:v>
      </x:c>
      <x:c r="AV9" s="199"/>
      <x:c r="AW9" s="199"/>
      <x:c r="AX9" s="199"/>
      <x:c r="AY9" s="199"/>
      <x:c r="AZ9" s="208"/>
      <x:c r="BA9" s="209" t="s">
        <x:v>78</x:v>
      </x:c>
      <x:c r="BB9" s="199"/>
      <x:c r="BC9" s="199"/>
      <x:c r="BD9" s="199"/>
      <x:c r="BE9" s="199"/>
      <x:c r="BF9" s="200"/>
      <x:c r="BG9" s="22"/>
    </x:row>
    <x:row r="10" spans="1:59">
      <x:c r="A10" s="22"/>
      <x:c r="B10" s="210"/>
      <x:c r="C10" s="211"/>
      <x:c r="D10" s="212" t="s">
        <x:v>11</x:v>
      </x:c>
      <x:c r="E10" s="213" t="s">
        <x:v>99</x:v>
      </x:c>
      <x:c r="F10" s="210"/>
      <x:c r="G10" s="211"/>
      <x:c r="H10" s="212" t="s">
        <x:v>11</x:v>
      </x:c>
      <x:c r="I10" s="212" t="s">
        <x:v>99</x:v>
      </x:c>
      <x:c r="J10" s="214"/>
      <x:c r="K10" s="214"/>
      <x:c r="L10" s="214"/>
      <x:c r="M10" s="215" t="s">
        <x:v>11</x:v>
      </x:c>
      <x:c r="N10" s="215" t="s">
        <x:v>99</x:v>
      </x:c>
      <x:c r="O10" s="216"/>
      <x:c r="P10" s="217" t="s">
        <x:v>87</x:v>
      </x:c>
      <x:c r="Q10" s="218"/>
      <x:c r="R10" s="218" t="s">
        <x:v>82</x:v>
      </x:c>
      <x:c r="S10" s="219"/>
      <x:c r="T10" s="220" t="s">
        <x:v>8</x:v>
      </x:c>
      <x:c r="U10" s="221" t="s">
        <x:v>88</x:v>
      </x:c>
      <x:c r="V10" s="222" t="s">
        <x:v>86</x:v>
      </x:c>
      <x:c r="W10" s="220" t="s">
        <x:v>58</x:v>
      </x:c>
      <x:c r="X10" s="221" t="s">
        <x:v>57</x:v>
      </x:c>
      <x:c r="Y10" s="223" t="s">
        <x:v>103</x:v>
      </x:c>
      <x:c r="Z10" s="223" t="s">
        <x:v>95</x:v>
      </x:c>
      <x:c r="AA10" s="223" t="s">
        <x:v>96</x:v>
      </x:c>
      <x:c r="AB10" s="224" t="s">
        <x:v>97</x:v>
      </x:c>
      <x:c r="AC10" s="225" t="s">
        <x:v>58</x:v>
      </x:c>
      <x:c r="AD10" s="221" t="s">
        <x:v>57</x:v>
      </x:c>
      <x:c r="AE10" s="223" t="s">
        <x:v>103</x:v>
      </x:c>
      <x:c r="AF10" s="223" t="s">
        <x:v>95</x:v>
      </x:c>
      <x:c r="AG10" s="223" t="s">
        <x:v>96</x:v>
      </x:c>
      <x:c r="AH10" s="226" t="s">
        <x:v>97</x:v>
      </x:c>
      <x:c r="AI10" s="227" t="s">
        <x:v>58</x:v>
      </x:c>
      <x:c r="AJ10" s="221" t="s">
        <x:v>57</x:v>
      </x:c>
      <x:c r="AK10" s="223" t="s">
        <x:v>103</x:v>
      </x:c>
      <x:c r="AL10" s="223" t="s">
        <x:v>95</x:v>
      </x:c>
      <x:c r="AM10" s="223" t="s">
        <x:v>96</x:v>
      </x:c>
      <x:c r="AN10" s="226" t="s">
        <x:v>97</x:v>
      </x:c>
      <x:c r="AO10" s="227" t="s">
        <x:v>58</x:v>
      </x:c>
      <x:c r="AP10" s="221" t="s">
        <x:v>57</x:v>
      </x:c>
      <x:c r="AQ10" s="223" t="s">
        <x:v>103</x:v>
      </x:c>
      <x:c r="AR10" s="223" t="s">
        <x:v>95</x:v>
      </x:c>
      <x:c r="AS10" s="223" t="s">
        <x:v>96</x:v>
      </x:c>
      <x:c r="AT10" s="226" t="s">
        <x:v>97</x:v>
      </x:c>
      <x:c r="AU10" s="227" t="s">
        <x:v>58</x:v>
      </x:c>
      <x:c r="AV10" s="221" t="s">
        <x:v>57</x:v>
      </x:c>
      <x:c r="AW10" s="223" t="s">
        <x:v>103</x:v>
      </x:c>
      <x:c r="AX10" s="223" t="s">
        <x:v>95</x:v>
      </x:c>
      <x:c r="AY10" s="223" t="s">
        <x:v>96</x:v>
      </x:c>
      <x:c r="AZ10" s="226" t="s">
        <x:v>97</x:v>
      </x:c>
      <x:c r="BA10" s="223" t="s">
        <x:v>58</x:v>
      </x:c>
      <x:c r="BB10" s="221" t="s">
        <x:v>57</x:v>
      </x:c>
      <x:c r="BC10" s="223" t="s">
        <x:v>103</x:v>
      </x:c>
      <x:c r="BD10" s="223" t="s">
        <x:v>95</x:v>
      </x:c>
      <x:c r="BE10" s="223" t="s">
        <x:v>96</x:v>
      </x:c>
      <x:c r="BF10" s="228" t="s">
        <x:v>97</x:v>
      </x:c>
      <x:c r="BG10" s="22"/>
    </x:row>
    <x:row r="11" spans="1:59">
      <x:c r="A11" s="22"/>
      <x:c r="B11" s="37" t="s">
        <x:v>66</x:v>
      </x:c>
      <x:c r="C11" s="229" t="s">
        <x:v>5</x:v>
      </x:c>
      <x:c r="D11" s="229"/>
      <x:c r="E11" s="230"/>
      <x:c r="F11" s="37">
        <x:v>47</x:v>
      </x:c>
      <x:c r="G11" s="229"/>
      <x:c r="H11" s="229"/>
      <x:c r="I11" s="229"/>
      <x:c r="J11" s="229">
        <x:f t="shared" ref="J11:J70" si="0">SUM(F11:I11)</x:f>
        <x:v>47</x:v>
      </x:c>
      <x:c r="K11" s="107">
        <x:f>HLOOKUP(B11,$D$1:$G$2,2,FALSE)</x:f>
        <x:v>815000</x:v>
      </x:c>
      <x:c r="L11" s="107"/>
      <x:c r="M11" s="107"/>
      <x:c r="N11" s="107"/>
      <x:c r="O11" s="231">
        <x:f>SUM(K11:N11)</x:f>
        <x:v>815000</x:v>
      </x:c>
      <x:c r="P11" s="37">
        <x:f>J11-0</x:f>
        <x:v>47</x:v>
      </x:c>
      <x:c r="Q11" s="107">
        <x:f>O11</x:f>
        <x:v>815000</x:v>
      </x:c>
      <x:c r="R11" s="229">
        <x:f>J11-22</x:f>
        <x:v>25</x:v>
      </x:c>
      <x:c r="S11" s="107">
        <x:f>Q11-$X$4</x:f>
        <x:v>436000</x:v>
      </x:c>
      <x:c r="T11" s="232">
        <x:f t="shared" ref="T11:T70" si="1">O11/2</x:f>
        <x:v>407500</x:v>
      </x:c>
      <x:c r="U11" s="107">
        <x:f t="shared" ref="U11:U70" si="2">Q11/2</x:f>
        <x:v>407500</x:v>
      </x:c>
      <x:c r="V11" s="231">
        <x:f t="shared" ref="V11:V70" si="3">S11/2</x:f>
        <x:v>218000</x:v>
      </x:c>
      <x:c r="W11" s="37" t="s">
        <x:v>60</x:v>
      </x:c>
      <x:c r="X11" s="107">
        <x:v>20000</x:v>
      </x:c>
      <x:c r="Y11" s="38">
        <x:f>IF(ROUNDDOWN($O11*$V$2,-2)&gt;$U$4,$U$4,ROUNDDOWN($O11*$V$2,-2))</x:f>
        <x:v>32600</x:v>
      </x:c>
      <x:c r="Z11" s="38">
        <x:f>IF(ROUNDDOWN($O11*$W$2,-2)&gt;$U$4,$U$4,ROUNDDOWN($O11*$W$2,-2))</x:f>
        <x:v>48900</x:v>
      </x:c>
      <x:c r="AA11" s="38">
        <x:f>IF(ROUNDDOWN($O11*$X$2,-2)&gt;$U$4,$U$4,ROUNDDOWN($O11*$X$2,-2))</x:f>
        <x:v>65200</x:v>
      </x:c>
      <x:c r="AB11" s="38">
        <x:f>IF(ROUNDDOWN($O11*$Y$2,-2)&gt;$U$4,$U$4,ROUNDDOWN($O11*$Y$2,-2))</x:f>
        <x:v>81500</x:v>
      </x:c>
      <x:c r="AC11" s="233" t="s">
        <x:v>60</x:v>
      </x:c>
      <x:c r="AD11" s="107">
        <x:v>20000</x:v>
      </x:c>
      <x:c r="AE11" s="38">
        <x:f t="shared" ref="AE11:AE70" si="4">IF(ROUNDDOWN($Q11*$V$2,-2)&gt;$U$4,$U$4,ROUNDDOWN($Q11*$V$2,-2))</x:f>
        <x:v>32600</x:v>
      </x:c>
      <x:c r="AF11" s="38">
        <x:f t="shared" ref="AF11:AF70" si="5">IF(ROUNDDOWN($Q11*$W$2,-2)&gt;$U$4,$U$4,ROUNDDOWN($Q11*$W$2,-2))</x:f>
        <x:v>48900</x:v>
      </x:c>
      <x:c r="AG11" s="38">
        <x:f t="shared" ref="AG11:AG70" si="6">IF(ROUNDDOWN($Q11*$X$2,-2)&gt;$U$4,$U$4,ROUNDDOWN($Q11*$X$2,-2))</x:f>
        <x:v>65200</x:v>
      </x:c>
      <x:c r="AH11" s="38">
        <x:f t="shared" ref="AH11:AH70" si="7">IF(ROUNDDOWN($Q11*$Y$2,-2)&gt;$U$4,$U$4,ROUNDDOWN($Q11*$Y$2,-2))</x:f>
        <x:v>81500</x:v>
      </x:c>
      <x:c r="AI11" s="234" t="s">
        <x:v>60</x:v>
      </x:c>
      <x:c r="AJ11" s="229" t="s">
        <x:v>60</x:v>
      </x:c>
      <x:c r="AK11" s="38">
        <x:f t="shared" ref="AK11:AK70" si="8">IF(ROUNDDOWN($S11*$V$2,-2)&gt;$U$4,$U$4,ROUNDDOWN($S11*$V$2,-2))</x:f>
        <x:v>17400</x:v>
      </x:c>
      <x:c r="AL11" s="38">
        <x:f t="shared" ref="AL11:AL70" si="9">IF(ROUNDDOWN($S11*$W$2,-2)&gt;$U$4,$U$4,ROUNDDOWN($S11*$W$2,-2))</x:f>
        <x:v>26100</x:v>
      </x:c>
      <x:c r="AM11" s="38">
        <x:f t="shared" ref="AM11:AM70" si="10">IF(ROUNDDOWN($S11*$X$2,-2)&gt;$U$4,$U$4,ROUNDDOWN($S11*$X$2,-2))</x:f>
        <x:v>34800</x:v>
      </x:c>
      <x:c r="AN11" s="38">
        <x:f t="shared" ref="AN11:AN70" si="11">IF(ROUNDDOWN($S11*$Y$2,-2)&gt;$U$4,$U$4,ROUNDDOWN($S11*$Y$2,-2))</x:f>
        <x:v>43600</x:v>
      </x:c>
      <x:c r="AO11" s="234" t="s">
        <x:v>60</x:v>
      </x:c>
      <x:c r="AP11" s="107">
        <x:v>20000</x:v>
      </x:c>
      <x:c r="AQ11" s="38">
        <x:f>IF(ROUNDDOWN($T11*$V$2,-2)&gt;$U$4,$U$4,ROUNDDOWN($T11*$V$2,-2))</x:f>
        <x:v>16300</x:v>
      </x:c>
      <x:c r="AR11" s="38">
        <x:f>IF(ROUNDDOWN($T11*$W$2,-2)&gt;$U$4,$U$4,ROUNDDOWN($T11*$W$2,-2))</x:f>
        <x:v>24400</x:v>
      </x:c>
      <x:c r="AS11" s="38">
        <x:f>IF(ROUNDDOWN($T11*$X$2,-2)&gt;$U$4,$U$4,ROUNDDOWN($T11*$X$2,-2))</x:f>
        <x:v>32600</x:v>
      </x:c>
      <x:c r="AT11" s="38">
        <x:f>IF(ROUNDDOWN($T11*$Y$2,-2)&gt;$U$4,$U$4,ROUNDDOWN($T11*$Y$2,-2))</x:f>
        <x:v>40700</x:v>
      </x:c>
      <x:c r="AU11" s="234" t="s">
        <x:v>60</x:v>
      </x:c>
      <x:c r="AV11" s="107">
        <x:v>20000</x:v>
      </x:c>
      <x:c r="AW11" s="38">
        <x:f>IF(ROUNDDOWN($U11*$V$2,-2)&gt;$U$4,$U$4,ROUNDDOWN($U11*$V$2,-2))</x:f>
        <x:v>16300</x:v>
      </x:c>
      <x:c r="AX11" s="38">
        <x:f>IF(ROUNDDOWN($U11*$W$2,-2)&gt;$U$4,$U$4,ROUNDDOWN($U11*$W$2,-2))</x:f>
        <x:v>24400</x:v>
      </x:c>
      <x:c r="AY11" s="38">
        <x:f>IF(ROUNDDOWN($U11*$X$2,-2)&gt;$U$4,$U$4,ROUNDDOWN($U11*$X$2,-2))</x:f>
        <x:v>32600</x:v>
      </x:c>
      <x:c r="AZ11" s="38">
        <x:f>IF(ROUNDDOWN($U11*$Y$2,-2)&gt;$U$4,$U$4,ROUNDDOWN($U11*$Y$2,-2))</x:f>
        <x:v>40700</x:v>
      </x:c>
      <x:c r="BA11" s="235" t="s">
        <x:v>60</x:v>
      </x:c>
      <x:c r="BB11" s="107" t="s">
        <x:v>60</x:v>
      </x:c>
      <x:c r="BC11" s="38">
        <x:f t="shared" ref="BC11:BC70" si="12">IF(ROUNDDOWN($V11*$V$2,-2)&gt;$U$4,$U$4,ROUNDDOWN($V11*$V$2,-2))</x:f>
        <x:v>8700</x:v>
      </x:c>
      <x:c r="BD11" s="38">
        <x:f t="shared" ref="BD11:BD70" si="13">IF(ROUNDDOWN($V11*$W$2,-2)&gt;$U$4,$U$4,ROUNDDOWN($V11*$W$2,-2))</x:f>
        <x:v>13000</x:v>
      </x:c>
      <x:c r="BE11" s="38">
        <x:f t="shared" ref="BE11:BE70" si="14">IF(ROUNDDOWN($V11*$X$2,-2)&gt;$U$4,$U$4,ROUNDDOWN($V11*$X$2,-2))</x:f>
        <x:v>17400</x:v>
      </x:c>
      <x:c r="BF11" s="236">
        <x:f t="shared" ref="BF11:BF70" si="15">IF(ROUNDDOWN($V11*$Y$2,-2)&gt;$U$4,$U$4,ROUNDDOWN($V11*$Y$2,-2))</x:f>
        <x:v>21800</x:v>
      </x:c>
      <x:c r="BG11" s="22"/>
    </x:row>
    <x:row r="12" spans="1:59">
      <x:c r="A12" s="22"/>
      <x:c r="B12" s="37" t="s">
        <x:v>66</x:v>
      </x:c>
      <x:c r="C12" s="229" t="s">
        <x:v>11</x:v>
      </x:c>
      <x:c r="D12" s="229"/>
      <x:c r="E12" s="230"/>
      <x:c r="F12" s="37">
        <x:v>47</x:v>
      </x:c>
      <x:c r="G12" s="229">
        <x:v>10</x:v>
      </x:c>
      <x:c r="H12" s="229"/>
      <x:c r="I12" s="229"/>
      <x:c r="J12" s="229">
        <x:f t="shared" si="0"/>
        <x:v>57</x:v>
      </x:c>
      <x:c r="K12" s="107">
        <x:f t="shared" ref="K12:K70" si="16">HLOOKUP(B12,$D$1:$G$2,2,FALSE)</x:f>
        <x:v>815000</x:v>
      </x:c>
      <x:c r="L12" s="107">
        <x:f>HLOOKUP(C12,$I$1:$T$2,2,FALSE)</x:f>
        <x:v>175000</x:v>
      </x:c>
      <x:c r="M12" s="107"/>
      <x:c r="N12" s="107"/>
      <x:c r="O12" s="231">
        <x:f t="shared" ref="O12:O70" si="17">SUM(K12:N12)</x:f>
        <x:v>990000</x:v>
      </x:c>
      <x:c r="P12" s="37">
        <x:f t="shared" ref="P12:P70" si="18">J12-0</x:f>
        <x:v>57</x:v>
      </x:c>
      <x:c r="Q12" s="107">
        <x:f t="shared" ref="Q12:Q70" si="19">O12</x:f>
        <x:v>990000</x:v>
      </x:c>
      <x:c r="R12" s="229">
        <x:f>J12-22</x:f>
        <x:v>35</x:v>
      </x:c>
      <x:c r="S12" s="107">
        <x:f t="shared" ref="S12:S70" si="20">Q12-$X$4</x:f>
        <x:v>611000</x:v>
      </x:c>
      <x:c r="T12" s="232">
        <x:f t="shared" si="1"/>
        <x:v>495000</x:v>
      </x:c>
      <x:c r="U12" s="107">
        <x:f t="shared" si="2"/>
        <x:v>495000</x:v>
      </x:c>
      <x:c r="V12" s="231">
        <x:f t="shared" si="3"/>
        <x:v>305500</x:v>
      </x:c>
      <x:c r="W12" s="37" t="s">
        <x:v>60</x:v>
      </x:c>
      <x:c r="X12" s="107">
        <x:v>20000</x:v>
      </x:c>
      <x:c r="Y12" s="38">
        <x:f t="shared" ref="Y12:Y70" si="21">IF(ROUNDDOWN($O12*$V$2,-2)&gt;$U$4,$U$4,ROUNDDOWN($O12*$V$2,-2))</x:f>
        <x:v>39600</x:v>
      </x:c>
      <x:c r="Z12" s="38">
        <x:f t="shared" ref="Z12:Z70" si="22">IF(ROUNDDOWN($O12*$W$2,-2)&gt;$U$4,$U$4,ROUNDDOWN($O12*$W$2,-2))</x:f>
        <x:v>59400</x:v>
      </x:c>
      <x:c r="AA12" s="38">
        <x:f t="shared" ref="AA12:AA70" si="23">IF(ROUNDDOWN($O12*$X$2,-2)&gt;$U$4,$U$4,ROUNDDOWN($O12*$X$2,-2))</x:f>
        <x:v>79200</x:v>
      </x:c>
      <x:c r="AB12" s="38">
        <x:f t="shared" ref="AB12:AB70" si="24">IF(ROUNDDOWN($O12*$Y$2,-2)&gt;$U$4,$U$4,ROUNDDOWN($O12*$Y$2,-2))</x:f>
        <x:v>99000</x:v>
      </x:c>
      <x:c r="AC12" s="233" t="s">
        <x:v>60</x:v>
      </x:c>
      <x:c r="AD12" s="107">
        <x:v>20000</x:v>
      </x:c>
      <x:c r="AE12" s="38">
        <x:f t="shared" si="4"/>
        <x:v>39600</x:v>
      </x:c>
      <x:c r="AF12" s="38">
        <x:f t="shared" si="5"/>
        <x:v>59400</x:v>
      </x:c>
      <x:c r="AG12" s="38">
        <x:f t="shared" si="6"/>
        <x:v>79200</x:v>
      </x:c>
      <x:c r="AH12" s="38">
        <x:f t="shared" si="7"/>
        <x:v>99000</x:v>
      </x:c>
      <x:c r="AI12" s="234" t="s">
        <x:v>60</x:v>
      </x:c>
      <x:c r="AJ12" s="229" t="s">
        <x:v>60</x:v>
      </x:c>
      <x:c r="AK12" s="38">
        <x:f t="shared" si="8"/>
        <x:v>24400</x:v>
      </x:c>
      <x:c r="AL12" s="38">
        <x:f t="shared" si="9"/>
        <x:v>36600</x:v>
      </x:c>
      <x:c r="AM12" s="38">
        <x:f t="shared" si="10"/>
        <x:v>48800</x:v>
      </x:c>
      <x:c r="AN12" s="38">
        <x:f t="shared" si="11"/>
        <x:v>61100</x:v>
      </x:c>
      <x:c r="AO12" s="234" t="s">
        <x:v>60</x:v>
      </x:c>
      <x:c r="AP12" s="107">
        <x:v>20000</x:v>
      </x:c>
      <x:c r="AQ12" s="38">
        <x:f>IF(ROUNDDOWN($T12*$V$2,-2)&gt;$U$4,$U$4,ROUNDDOWN($T12*$V$2,-2))</x:f>
        <x:v>19800</x:v>
      </x:c>
      <x:c r="AR12" s="38">
        <x:f>IF(ROUNDDOWN($T12*$W$2,-2)&gt;$U$4,$U$4,ROUNDDOWN($T12*$W$2,-2))</x:f>
        <x:v>29700</x:v>
      </x:c>
      <x:c r="AS12" s="38">
        <x:f>IF(ROUNDDOWN($T12*$X$2,-2)&gt;$U$4,$U$4,ROUNDDOWN($T12*$X$2,-2))</x:f>
        <x:v>39600</x:v>
      </x:c>
      <x:c r="AT12" s="38">
        <x:f>IF(ROUNDDOWN($T12*$Y$2,-2)&gt;$U$4,$U$4,ROUNDDOWN($T12*$Y$2,-2))</x:f>
        <x:v>49500</x:v>
      </x:c>
      <x:c r="AU12" s="234" t="s">
        <x:v>60</x:v>
      </x:c>
      <x:c r="AV12" s="107">
        <x:v>20000</x:v>
      </x:c>
      <x:c r="AW12" s="38">
        <x:f>IF(ROUNDDOWN($U12*$V$2,-2)&gt;$U$4,$U$4,ROUNDDOWN($U12*$V$2,-2))</x:f>
        <x:v>19800</x:v>
      </x:c>
      <x:c r="AX12" s="38">
        <x:f>IF(ROUNDDOWN($U12*$W$2,-2)&gt;$U$4,$U$4,ROUNDDOWN($U12*$W$2,-2))</x:f>
        <x:v>29700</x:v>
      </x:c>
      <x:c r="AY12" s="38">
        <x:f>IF(ROUNDDOWN($U12*$X$2,-2)&gt;$U$4,$U$4,ROUNDDOWN($U12*$X$2,-2))</x:f>
        <x:v>39600</x:v>
      </x:c>
      <x:c r="AZ12" s="38">
        <x:f>IF(ROUNDDOWN($U12*$Y$2,-2)&gt;$U$4,$U$4,ROUNDDOWN($U12*$Y$2,-2))</x:f>
        <x:v>49500</x:v>
      </x:c>
      <x:c r="BA12" s="235" t="s">
        <x:v>60</x:v>
      </x:c>
      <x:c r="BB12" s="107" t="s">
        <x:v>60</x:v>
      </x:c>
      <x:c r="BC12" s="38">
        <x:f t="shared" si="12"/>
        <x:v>12200</x:v>
      </x:c>
      <x:c r="BD12" s="38">
        <x:f t="shared" si="13"/>
        <x:v>18300</x:v>
      </x:c>
      <x:c r="BE12" s="38">
        <x:f t="shared" si="14"/>
        <x:v>24400</x:v>
      </x:c>
      <x:c r="BF12" s="236">
        <x:f t="shared" si="15"/>
        <x:v>30500</x:v>
      </x:c>
      <x:c r="BG12" s="22"/>
    </x:row>
    <x:row r="13" spans="1:59">
      <x:c r="A13" s="22"/>
      <x:c r="B13" s="37" t="s">
        <x:v>66</x:v>
      </x:c>
      <x:c r="C13" s="229" t="s">
        <x:v>50</x:v>
      </x:c>
      <x:c r="D13" s="229"/>
      <x:c r="E13" s="230"/>
      <x:c r="F13" s="37">
        <x:v>47</x:v>
      </x:c>
      <x:c r="G13" s="229">
        <x:v>20</x:v>
      </x:c>
      <x:c r="H13" s="229"/>
      <x:c r="I13" s="229"/>
      <x:c r="J13" s="229">
        <x:f t="shared" si="0"/>
        <x:v>67</x:v>
      </x:c>
      <x:c r="K13" s="107">
        <x:f t="shared" si="16"/>
        <x:v>815000</x:v>
      </x:c>
      <x:c r="L13" s="107">
        <x:f t="shared" ref="L13:L14" si="25">HLOOKUP(C13,$I$1:$T$2,2,FALSE)</x:f>
        <x:v>349000</x:v>
      </x:c>
      <x:c r="M13" s="107"/>
      <x:c r="N13" s="107"/>
      <x:c r="O13" s="231">
        <x:f t="shared" si="17"/>
        <x:v>1164000</x:v>
      </x:c>
      <x:c r="P13" s="37">
        <x:f t="shared" si="18"/>
        <x:v>67</x:v>
      </x:c>
      <x:c r="Q13" s="107">
        <x:f t="shared" si="19"/>
        <x:v>1164000</x:v>
      </x:c>
      <x:c r="R13" s="229">
        <x:f t="shared" ref="R13:R70" si="26">J13-22</x:f>
        <x:v>45</x:v>
      </x:c>
      <x:c r="S13" s="107">
        <x:f t="shared" si="20"/>
        <x:v>785000</x:v>
      </x:c>
      <x:c r="T13" s="232">
        <x:f t="shared" si="1"/>
        <x:v>582000</x:v>
      </x:c>
      <x:c r="U13" s="107">
        <x:f t="shared" si="2"/>
        <x:v>582000</x:v>
      </x:c>
      <x:c r="V13" s="231">
        <x:f t="shared" si="3"/>
        <x:v>392500</x:v>
      </x:c>
      <x:c r="W13" s="37" t="s">
        <x:v>60</x:v>
      </x:c>
      <x:c r="X13" s="107">
        <x:v>20000</x:v>
      </x:c>
      <x:c r="Y13" s="38">
        <x:f t="shared" si="21"/>
        <x:v>46500</x:v>
      </x:c>
      <x:c r="Z13" s="38">
        <x:f t="shared" si="22"/>
        <x:v>69800</x:v>
      </x:c>
      <x:c r="AA13" s="38">
        <x:f t="shared" si="23"/>
        <x:v>93100</x:v>
      </x:c>
      <x:c r="AB13" s="38">
        <x:f t="shared" si="24"/>
        <x:v>116400</x:v>
      </x:c>
      <x:c r="AC13" s="233" t="s">
        <x:v>60</x:v>
      </x:c>
      <x:c r="AD13" s="107">
        <x:v>20000</x:v>
      </x:c>
      <x:c r="AE13" s="38">
        <x:f t="shared" si="4"/>
        <x:v>46500</x:v>
      </x:c>
      <x:c r="AF13" s="38">
        <x:f t="shared" si="5"/>
        <x:v>69800</x:v>
      </x:c>
      <x:c r="AG13" s="38">
        <x:f t="shared" si="6"/>
        <x:v>93100</x:v>
      </x:c>
      <x:c r="AH13" s="38">
        <x:f t="shared" si="7"/>
        <x:v>116400</x:v>
      </x:c>
      <x:c r="AI13" s="234" t="s">
        <x:v>60</x:v>
      </x:c>
      <x:c r="AJ13" s="229" t="s">
        <x:v>60</x:v>
      </x:c>
      <x:c r="AK13" s="38">
        <x:f t="shared" si="8"/>
        <x:v>31400</x:v>
      </x:c>
      <x:c r="AL13" s="38">
        <x:f t="shared" si="9"/>
        <x:v>47100</x:v>
      </x:c>
      <x:c r="AM13" s="38">
        <x:f t="shared" si="10"/>
        <x:v>62800</x:v>
      </x:c>
      <x:c r="AN13" s="38">
        <x:f t="shared" si="11"/>
        <x:v>78500</x:v>
      </x:c>
      <x:c r="AO13" s="234" t="s">
        <x:v>60</x:v>
      </x:c>
      <x:c r="AP13" s="107">
        <x:v>20000</x:v>
      </x:c>
      <x:c r="AQ13" s="38">
        <x:f>IF(ROUNDDOWN($T13*$V$2,-2)&gt;$U$4,$U$4,ROUNDDOWN($T13*$V$2,-2))</x:f>
        <x:v>23200</x:v>
      </x:c>
      <x:c r="AR13" s="38">
        <x:f>IF(ROUNDDOWN($T13*$W$2,-2)&gt;$U$4,$U$4,ROUNDDOWN($T13*$W$2,-2))</x:f>
        <x:v>34900</x:v>
      </x:c>
      <x:c r="AS13" s="38">
        <x:f>IF(ROUNDDOWN($T13*$X$2,-2)&gt;$U$4,$U$4,ROUNDDOWN($T13*$X$2,-2))</x:f>
        <x:v>46500</x:v>
      </x:c>
      <x:c r="AT13" s="38">
        <x:f>IF(ROUNDDOWN($T13*$Y$2,-2)&gt;$U$4,$U$4,ROUNDDOWN($T13*$Y$2,-2))</x:f>
        <x:v>58200</x:v>
      </x:c>
      <x:c r="AU13" s="234" t="s">
        <x:v>60</x:v>
      </x:c>
      <x:c r="AV13" s="107">
        <x:v>20000</x:v>
      </x:c>
      <x:c r="AW13" s="38">
        <x:f>IF(ROUNDDOWN($U13*$V$2,-2)&gt;$U$4,$U$4,ROUNDDOWN($U13*$V$2,-2))</x:f>
        <x:v>23200</x:v>
      </x:c>
      <x:c r="AX13" s="38">
        <x:f>IF(ROUNDDOWN($U13*$W$2,-2)&gt;$U$4,$U$4,ROUNDDOWN($U13*$W$2,-2))</x:f>
        <x:v>34900</x:v>
      </x:c>
      <x:c r="AY13" s="38">
        <x:f>IF(ROUNDDOWN($U13*$X$2,-2)&gt;$U$4,$U$4,ROUNDDOWN($U13*$X$2,-2))</x:f>
        <x:v>46500</x:v>
      </x:c>
      <x:c r="AZ13" s="38">
        <x:f>IF(ROUNDDOWN($U13*$Y$2,-2)&gt;$U$4,$U$4,ROUNDDOWN($U13*$Y$2,-2))</x:f>
        <x:v>58200</x:v>
      </x:c>
      <x:c r="BA13" s="235" t="s">
        <x:v>60</x:v>
      </x:c>
      <x:c r="BB13" s="107" t="s">
        <x:v>60</x:v>
      </x:c>
      <x:c r="BC13" s="38">
        <x:f t="shared" si="12"/>
        <x:v>15700</x:v>
      </x:c>
      <x:c r="BD13" s="38">
        <x:f t="shared" si="13"/>
        <x:v>23500</x:v>
      </x:c>
      <x:c r="BE13" s="38">
        <x:f t="shared" si="14"/>
        <x:v>31400</x:v>
      </x:c>
      <x:c r="BF13" s="236">
        <x:f t="shared" si="15"/>
        <x:v>39200</x:v>
      </x:c>
      <x:c r="BG13" s="22"/>
    </x:row>
    <x:row r="14" spans="1:59">
      <x:c r="A14" s="22"/>
      <x:c r="B14" s="37" t="s">
        <x:v>66</x:v>
      </x:c>
      <x:c r="C14" s="229" t="s">
        <x:v>52</x:v>
      </x:c>
      <x:c r="D14" s="229"/>
      <x:c r="E14" s="230"/>
      <x:c r="F14" s="37">
        <x:v>47</x:v>
      </x:c>
      <x:c r="G14" s="229">
        <x:v>20</x:v>
      </x:c>
      <x:c r="H14" s="229"/>
      <x:c r="I14" s="229"/>
      <x:c r="J14" s="229">
        <x:f t="shared" si="0"/>
        <x:v>67</x:v>
      </x:c>
      <x:c r="K14" s="107">
        <x:f t="shared" si="16"/>
        <x:v>815000</x:v>
      </x:c>
      <x:c r="L14" s="107">
        <x:f t="shared" si="25"/>
        <x:v>349000</x:v>
      </x:c>
      <x:c r="M14" s="107"/>
      <x:c r="N14" s="107"/>
      <x:c r="O14" s="231">
        <x:f t="shared" si="17"/>
        <x:v>1164000</x:v>
      </x:c>
      <x:c r="P14" s="37">
        <x:f t="shared" si="18"/>
        <x:v>67</x:v>
      </x:c>
      <x:c r="Q14" s="107">
        <x:f t="shared" si="19"/>
        <x:v>1164000</x:v>
      </x:c>
      <x:c r="R14" s="229">
        <x:f t="shared" si="26"/>
        <x:v>45</x:v>
      </x:c>
      <x:c r="S14" s="107">
        <x:f t="shared" si="20"/>
        <x:v>785000</x:v>
      </x:c>
      <x:c r="T14" s="232">
        <x:f t="shared" si="1"/>
        <x:v>582000</x:v>
      </x:c>
      <x:c r="U14" s="107">
        <x:f t="shared" si="2"/>
        <x:v>582000</x:v>
      </x:c>
      <x:c r="V14" s="231">
        <x:f t="shared" si="3"/>
        <x:v>392500</x:v>
      </x:c>
      <x:c r="W14" s="37" t="s">
        <x:v>60</x:v>
      </x:c>
      <x:c r="X14" s="107">
        <x:v>20000</x:v>
      </x:c>
      <x:c r="Y14" s="38">
        <x:f t="shared" si="21"/>
        <x:v>46500</x:v>
      </x:c>
      <x:c r="Z14" s="38">
        <x:f t="shared" si="22"/>
        <x:v>69800</x:v>
      </x:c>
      <x:c r="AA14" s="38">
        <x:f t="shared" si="23"/>
        <x:v>93100</x:v>
      </x:c>
      <x:c r="AB14" s="38">
        <x:f t="shared" si="24"/>
        <x:v>116400</x:v>
      </x:c>
      <x:c r="AC14" s="233" t="s">
        <x:v>60</x:v>
      </x:c>
      <x:c r="AD14" s="107">
        <x:v>20000</x:v>
      </x:c>
      <x:c r="AE14" s="38">
        <x:f t="shared" si="4"/>
        <x:v>46500</x:v>
      </x:c>
      <x:c r="AF14" s="38">
        <x:f t="shared" si="5"/>
        <x:v>69800</x:v>
      </x:c>
      <x:c r="AG14" s="38">
        <x:f t="shared" si="6"/>
        <x:v>93100</x:v>
      </x:c>
      <x:c r="AH14" s="38">
        <x:f t="shared" si="7"/>
        <x:v>116400</x:v>
      </x:c>
      <x:c r="AI14" s="234" t="s">
        <x:v>60</x:v>
      </x:c>
      <x:c r="AJ14" s="229" t="s">
        <x:v>60</x:v>
      </x:c>
      <x:c r="AK14" s="38">
        <x:f t="shared" si="8"/>
        <x:v>31400</x:v>
      </x:c>
      <x:c r="AL14" s="38">
        <x:f t="shared" si="9"/>
        <x:v>47100</x:v>
      </x:c>
      <x:c r="AM14" s="38">
        <x:f t="shared" si="10"/>
        <x:v>62800</x:v>
      </x:c>
      <x:c r="AN14" s="38">
        <x:f t="shared" si="11"/>
        <x:v>78500</x:v>
      </x:c>
      <x:c r="AO14" s="234" t="s">
        <x:v>60</x:v>
      </x:c>
      <x:c r="AP14" s="107">
        <x:v>20000</x:v>
      </x:c>
      <x:c r="AQ14" s="38">
        <x:f>IF(ROUNDDOWN($T14*$V$2,-2)&gt;$U$4,$U$4,ROUNDDOWN($T14*$V$2,-2))</x:f>
        <x:v>23200</x:v>
      </x:c>
      <x:c r="AR14" s="38">
        <x:f>IF(ROUNDDOWN($T14*$W$2,-2)&gt;$U$4,$U$4,ROUNDDOWN($T14*$W$2,-2))</x:f>
        <x:v>34900</x:v>
      </x:c>
      <x:c r="AS14" s="38">
        <x:f>IF(ROUNDDOWN($T14*$X$2,-2)&gt;$U$4,$U$4,ROUNDDOWN($T14*$X$2,-2))</x:f>
        <x:v>46500</x:v>
      </x:c>
      <x:c r="AT14" s="38">
        <x:f>IF(ROUNDDOWN($T14*$Y$2,-2)&gt;$U$4,$U$4,ROUNDDOWN($T14*$Y$2,-2))</x:f>
        <x:v>58200</x:v>
      </x:c>
      <x:c r="AU14" s="234" t="s">
        <x:v>60</x:v>
      </x:c>
      <x:c r="AV14" s="107">
        <x:v>20000</x:v>
      </x:c>
      <x:c r="AW14" s="38">
        <x:f>IF(ROUNDDOWN($U14*$V$2,-2)&gt;$U$4,$U$4,ROUNDDOWN($U14*$V$2,-2))</x:f>
        <x:v>23200</x:v>
      </x:c>
      <x:c r="AX14" s="38">
        <x:f>IF(ROUNDDOWN($U14*$W$2,-2)&gt;$U$4,$U$4,ROUNDDOWN($U14*$W$2,-2))</x:f>
        <x:v>34900</x:v>
      </x:c>
      <x:c r="AY14" s="38">
        <x:f>IF(ROUNDDOWN($U14*$X$2,-2)&gt;$U$4,$U$4,ROUNDDOWN($U14*$X$2,-2))</x:f>
        <x:v>46500</x:v>
      </x:c>
      <x:c r="AZ14" s="38">
        <x:f>IF(ROUNDDOWN($U14*$Y$2,-2)&gt;$U$4,$U$4,ROUNDDOWN($U14*$Y$2,-2))</x:f>
        <x:v>58200</x:v>
      </x:c>
      <x:c r="BA14" s="235" t="s">
        <x:v>60</x:v>
      </x:c>
      <x:c r="BB14" s="107" t="s">
        <x:v>60</x:v>
      </x:c>
      <x:c r="BC14" s="38">
        <x:f t="shared" si="12"/>
        <x:v>15700</x:v>
      </x:c>
      <x:c r="BD14" s="38">
        <x:f t="shared" si="13"/>
        <x:v>23500</x:v>
      </x:c>
      <x:c r="BE14" s="38">
        <x:f t="shared" si="14"/>
        <x:v>31400</x:v>
      </x:c>
      <x:c r="BF14" s="236">
        <x:f t="shared" si="15"/>
        <x:v>39200</x:v>
      </x:c>
      <x:c r="BG14" s="22"/>
    </x:row>
    <x:row r="15" spans="1:59">
      <x:c r="A15" s="22"/>
      <x:c r="B15" s="37" t="s">
        <x:v>59</x:v>
      </x:c>
      <x:c r="C15" s="229" t="s">
        <x:v>5</x:v>
      </x:c>
      <x:c r="D15" s="229"/>
      <x:c r="E15" s="230"/>
      <x:c r="F15" s="37">
        <x:v>71</x:v>
      </x:c>
      <x:c r="G15" s="229"/>
      <x:c r="H15" s="229"/>
      <x:c r="I15" s="229"/>
      <x:c r="J15" s="229">
        <x:f t="shared" si="0"/>
        <x:v>71</x:v>
      </x:c>
      <x:c r="K15" s="107">
        <x:f t="shared" si="16"/>
        <x:v>1230000</x:v>
      </x:c>
      <x:c r="L15" s="107"/>
      <x:c r="M15" s="107"/>
      <x:c r="N15" s="107"/>
      <x:c r="O15" s="231">
        <x:f t="shared" si="17"/>
        <x:v>1230000</x:v>
      </x:c>
      <x:c r="P15" s="37">
        <x:f t="shared" si="18"/>
        <x:v>71</x:v>
      </x:c>
      <x:c r="Q15" s="107">
        <x:f t="shared" si="19"/>
        <x:v>1230000</x:v>
      </x:c>
      <x:c r="R15" s="229">
        <x:f t="shared" si="26"/>
        <x:v>49</x:v>
      </x:c>
      <x:c r="S15" s="107">
        <x:f t="shared" si="20"/>
        <x:v>851000</x:v>
      </x:c>
      <x:c r="T15" s="232">
        <x:f t="shared" si="1"/>
        <x:v>615000</x:v>
      </x:c>
      <x:c r="U15" s="107">
        <x:f t="shared" si="2"/>
        <x:v>615000</x:v>
      </x:c>
      <x:c r="V15" s="231">
        <x:f t="shared" si="3"/>
        <x:v>425500</x:v>
      </x:c>
      <x:c r="W15" s="37" t="s">
        <x:v>60</x:v>
      </x:c>
      <x:c r="X15" s="107">
        <x:v>20000</x:v>
      </x:c>
      <x:c r="Y15" s="38">
        <x:f t="shared" si="21"/>
        <x:v>49200</x:v>
      </x:c>
      <x:c r="Z15" s="38">
        <x:f t="shared" si="22"/>
        <x:v>73800</x:v>
      </x:c>
      <x:c r="AA15" s="38">
        <x:f t="shared" si="23"/>
        <x:v>98400</x:v>
      </x:c>
      <x:c r="AB15" s="38">
        <x:f t="shared" si="24"/>
        <x:v>123000</x:v>
      </x:c>
      <x:c r="AC15" s="233" t="s">
        <x:v>60</x:v>
      </x:c>
      <x:c r="AD15" s="107">
        <x:v>20000</x:v>
      </x:c>
      <x:c r="AE15" s="38">
        <x:f t="shared" si="4"/>
        <x:v>49200</x:v>
      </x:c>
      <x:c r="AF15" s="38">
        <x:f t="shared" si="5"/>
        <x:v>73800</x:v>
      </x:c>
      <x:c r="AG15" s="38">
        <x:f t="shared" si="6"/>
        <x:v>98400</x:v>
      </x:c>
      <x:c r="AH15" s="38">
        <x:f t="shared" si="7"/>
        <x:v>123000</x:v>
      </x:c>
      <x:c r="AI15" s="234" t="s">
        <x:v>60</x:v>
      </x:c>
      <x:c r="AJ15" s="229" t="s">
        <x:v>60</x:v>
      </x:c>
      <x:c r="AK15" s="38">
        <x:f t="shared" si="8"/>
        <x:v>34000</x:v>
      </x:c>
      <x:c r="AL15" s="38">
        <x:f t="shared" si="9"/>
        <x:v>51000</x:v>
      </x:c>
      <x:c r="AM15" s="38">
        <x:f t="shared" si="10"/>
        <x:v>68000</x:v>
      </x:c>
      <x:c r="AN15" s="38">
        <x:f t="shared" si="11"/>
        <x:v>85100</x:v>
      </x:c>
      <x:c r="AO15" s="234" t="s">
        <x:v>60</x:v>
      </x:c>
      <x:c r="AP15" s="107">
        <x:v>20000</x:v>
      </x:c>
      <x:c r="AQ15" s="38">
        <x:f>IF(ROUNDDOWN($T15*$V$2,-2)&gt;$U$4,$U$4,ROUNDDOWN($T15*$V$2,-2))</x:f>
        <x:v>24600</x:v>
      </x:c>
      <x:c r="AR15" s="38">
        <x:f>IF(ROUNDDOWN($T15*$W$2,-2)&gt;$U$4,$U$4,ROUNDDOWN($T15*$W$2,-2))</x:f>
        <x:v>36900</x:v>
      </x:c>
      <x:c r="AS15" s="38">
        <x:f>IF(ROUNDDOWN($T15*$X$2,-2)&gt;$U$4,$U$4,ROUNDDOWN($T15*$X$2,-2))</x:f>
        <x:v>49200</x:v>
      </x:c>
      <x:c r="AT15" s="237">
        <x:f>IF(ROUNDDOWN($T15*$Y$2,-2)&gt;$U$4,$U$4,ROUNDDOWN($T15*$Y$2,-2))</x:f>
        <x:v>61500</x:v>
      </x:c>
      <x:c r="AU15" s="234" t="s">
        <x:v>60</x:v>
      </x:c>
      <x:c r="AV15" s="107">
        <x:v>20000</x:v>
      </x:c>
      <x:c r="AW15" s="38">
        <x:f>IF(ROUNDDOWN($U15*$V$2,-2)&gt;$U$4,$U$4,ROUNDDOWN($U15*$V$2,-2))</x:f>
        <x:v>24600</x:v>
      </x:c>
      <x:c r="AX15" s="38">
        <x:f>IF(ROUNDDOWN($U15*$W$2,-2)&gt;$U$4,$U$4,ROUNDDOWN($U15*$W$2,-2))</x:f>
        <x:v>36900</x:v>
      </x:c>
      <x:c r="AY15" s="38">
        <x:f>IF(ROUNDDOWN($U15*$X$2,-2)&gt;$U$4,$U$4,ROUNDDOWN($U15*$X$2,-2))</x:f>
        <x:v>49200</x:v>
      </x:c>
      <x:c r="AZ15" s="38">
        <x:f>IF(ROUNDDOWN($U15*$Y$2,-2)&gt;$U$4,$U$4,ROUNDDOWN($U15*$Y$2,-2))</x:f>
        <x:v>61500</x:v>
      </x:c>
      <x:c r="BA15" s="235" t="s">
        <x:v>60</x:v>
      </x:c>
      <x:c r="BB15" s="107" t="s">
        <x:v>60</x:v>
      </x:c>
      <x:c r="BC15" s="38">
        <x:f t="shared" si="12"/>
        <x:v>17000</x:v>
      </x:c>
      <x:c r="BD15" s="38">
        <x:f t="shared" si="13"/>
        <x:v>25500</x:v>
      </x:c>
      <x:c r="BE15" s="38">
        <x:f t="shared" si="14"/>
        <x:v>34000</x:v>
      </x:c>
      <x:c r="BF15" s="236">
        <x:f t="shared" si="15"/>
        <x:v>42500</x:v>
      </x:c>
      <x:c r="BG15" s="22"/>
    </x:row>
    <x:row r="16" spans="1:59">
      <x:c r="A16" s="12"/>
      <x:c r="B16" s="37" t="s">
        <x:v>66</x:v>
      </x:c>
      <x:c r="C16" s="229" t="s">
        <x:v>50</x:v>
      </x:c>
      <x:c r="D16" s="229" t="s">
        <x:v>6</x:v>
      </x:c>
      <x:c r="E16" s="230"/>
      <x:c r="F16" s="37">
        <x:v>47</x:v>
      </x:c>
      <x:c r="G16" s="229">
        <x:v>20</x:v>
      </x:c>
      <x:c r="H16" s="229">
        <x:v>10</x:v>
      </x:c>
      <x:c r="I16" s="229"/>
      <x:c r="J16" s="229">
        <x:f t="shared" si="0"/>
        <x:v>77</x:v>
      </x:c>
      <x:c r="K16" s="107">
        <x:f t="shared" si="16"/>
        <x:v>815000</x:v>
      </x:c>
      <x:c r="L16" s="107">
        <x:f t="shared" ref="L16:L21" si="27">HLOOKUP(C16,$I$1:$T$2,2,FALSE)</x:f>
        <x:v>349000</x:v>
      </x:c>
      <x:c r="M16" s="107">
        <x:f>HLOOKUP($M$10,$I$1:$T$2,2,FALSE)</x:f>
        <x:v>175000</x:v>
      </x:c>
      <x:c r="N16" s="107"/>
      <x:c r="O16" s="231">
        <x:f t="shared" si="17"/>
        <x:v>1339000</x:v>
      </x:c>
      <x:c r="P16" s="37">
        <x:f t="shared" si="18"/>
        <x:v>77</x:v>
      </x:c>
      <x:c r="Q16" s="107">
        <x:f t="shared" si="19"/>
        <x:v>1339000</x:v>
      </x:c>
      <x:c r="R16" s="229">
        <x:f t="shared" si="26"/>
        <x:v>55</x:v>
      </x:c>
      <x:c r="S16" s="107">
        <x:f t="shared" si="20"/>
        <x:v>960000</x:v>
      </x:c>
      <x:c r="T16" s="232">
        <x:f t="shared" si="1"/>
        <x:v>669500</x:v>
      </x:c>
      <x:c r="U16" s="107">
        <x:f t="shared" si="2"/>
        <x:v>669500</x:v>
      </x:c>
      <x:c r="V16" s="231">
        <x:f t="shared" si="3"/>
        <x:v>480000</x:v>
      </x:c>
      <x:c r="W16" s="37" t="s">
        <x:v>60</x:v>
      </x:c>
      <x:c r="X16" s="107">
        <x:v>20000</x:v>
      </x:c>
      <x:c r="Y16" s="38">
        <x:f t="shared" si="21"/>
        <x:v>53500</x:v>
      </x:c>
      <x:c r="Z16" s="38">
        <x:f t="shared" si="22"/>
        <x:v>80300</x:v>
      </x:c>
      <x:c r="AA16" s="38">
        <x:f t="shared" si="23"/>
        <x:v>107100</x:v>
      </x:c>
      <x:c r="AB16" s="38">
        <x:f t="shared" si="24"/>
        <x:v>133900</x:v>
      </x:c>
      <x:c r="AC16" s="233" t="s">
        <x:v>60</x:v>
      </x:c>
      <x:c r="AD16" s="107">
        <x:v>20000</x:v>
      </x:c>
      <x:c r="AE16" s="38">
        <x:f t="shared" si="4"/>
        <x:v>53500</x:v>
      </x:c>
      <x:c r="AF16" s="38">
        <x:f t="shared" si="5"/>
        <x:v>80300</x:v>
      </x:c>
      <x:c r="AG16" s="38">
        <x:f t="shared" si="6"/>
        <x:v>107100</x:v>
      </x:c>
      <x:c r="AH16" s="38">
        <x:f t="shared" si="7"/>
        <x:v>133900</x:v>
      </x:c>
      <x:c r="AI16" s="234" t="s">
        <x:v>60</x:v>
      </x:c>
      <x:c r="AJ16" s="229" t="s">
        <x:v>60</x:v>
      </x:c>
      <x:c r="AK16" s="38">
        <x:f t="shared" si="8"/>
        <x:v>38400</x:v>
      </x:c>
      <x:c r="AL16" s="38">
        <x:f t="shared" si="9"/>
        <x:v>57600</x:v>
      </x:c>
      <x:c r="AM16" s="38">
        <x:f t="shared" si="10"/>
        <x:v>76800</x:v>
      </x:c>
      <x:c r="AN16" s="38">
        <x:f t="shared" si="11"/>
        <x:v>96000</x:v>
      </x:c>
      <x:c r="AO16" s="234" t="s">
        <x:v>60</x:v>
      </x:c>
      <x:c r="AP16" s="107">
        <x:v>20000</x:v>
      </x:c>
      <x:c r="AQ16" s="38">
        <x:f t="shared" ref="AQ16:AQ70" si="28">IF(ROUNDDOWN($T16*$V$2,-2)&gt;$U$4,$U$4,ROUNDDOWN($T16*$V$2,-2))</x:f>
        <x:v>26700</x:v>
      </x:c>
      <x:c r="AR16" s="38">
        <x:f t="shared" ref="AR16:AR70" si="29">IF(ROUNDDOWN($T16*$W$2,-2)&gt;$U$4,$U$4,ROUNDDOWN($T16*$W$2,-2))</x:f>
        <x:v>40100</x:v>
      </x:c>
      <x:c r="AS16" s="38">
        <x:f t="shared" ref="AS16:AS70" si="30">IF(ROUNDDOWN($T16*$X$2,-2)&gt;$U$4,$U$4,ROUNDDOWN($T16*$X$2,-2))</x:f>
        <x:v>53500</x:v>
      </x:c>
      <x:c r="AT16" s="237">
        <x:f t="shared" ref="AT16:AT70" si="31">IF(ROUNDDOWN($T16*$Y$2,-2)&gt;$U$4,$U$4,ROUNDDOWN($T16*$Y$2,-2))</x:f>
        <x:v>66900</x:v>
      </x:c>
      <x:c r="AU16" s="234" t="s">
        <x:v>60</x:v>
      </x:c>
      <x:c r="AV16" s="107">
        <x:v>20000</x:v>
      </x:c>
      <x:c r="AW16" s="38">
        <x:f t="shared" ref="AW16:AW70" si="32">IF(ROUNDDOWN($U16*$V$2,-2)&gt;$U$4,$U$4,ROUNDDOWN($U16*$V$2,-2))</x:f>
        <x:v>26700</x:v>
      </x:c>
      <x:c r="AX16" s="38">
        <x:f t="shared" ref="AX16:AX70" si="33">IF(ROUNDDOWN($U16*$W$2,-2)&gt;$U$4,$U$4,ROUNDDOWN($U16*$W$2,-2))</x:f>
        <x:v>40100</x:v>
      </x:c>
      <x:c r="AY16" s="38">
        <x:f t="shared" ref="AY16:AY70" si="34">IF(ROUNDDOWN($U16*$X$2,-2)&gt;$U$4,$U$4,ROUNDDOWN($U16*$X$2,-2))</x:f>
        <x:v>53500</x:v>
      </x:c>
      <x:c r="AZ16" s="38">
        <x:f t="shared" ref="AZ16:AZ70" si="35">IF(ROUNDDOWN($U16*$Y$2,-2)&gt;$U$4,$U$4,ROUNDDOWN($U16*$Y$2,-2))</x:f>
        <x:v>66900</x:v>
      </x:c>
      <x:c r="BA16" s="235" t="s">
        <x:v>60</x:v>
      </x:c>
      <x:c r="BB16" s="107" t="s">
        <x:v>60</x:v>
      </x:c>
      <x:c r="BC16" s="38">
        <x:f t="shared" si="12"/>
        <x:v>19200</x:v>
      </x:c>
      <x:c r="BD16" s="38">
        <x:f t="shared" si="13"/>
        <x:v>28800</x:v>
      </x:c>
      <x:c r="BE16" s="38">
        <x:f t="shared" si="14"/>
        <x:v>38400</x:v>
      </x:c>
      <x:c r="BF16" s="236">
        <x:f t="shared" si="15"/>
        <x:v>48000</x:v>
      </x:c>
      <x:c r="BG16" s="12"/>
    </x:row>
    <x:row r="17" spans="1:59">
      <x:c r="A17" s="12"/>
      <x:c r="B17" s="37" t="s">
        <x:v>66</x:v>
      </x:c>
      <x:c r="C17" s="229" t="s">
        <x:v>52</x:v>
      </x:c>
      <x:c r="D17" s="229" t="s">
        <x:v>6</x:v>
      </x:c>
      <x:c r="E17" s="230"/>
      <x:c r="F17" s="37">
        <x:v>47</x:v>
      </x:c>
      <x:c r="G17" s="229">
        <x:v>20</x:v>
      </x:c>
      <x:c r="H17" s="229">
        <x:v>10</x:v>
      </x:c>
      <x:c r="I17" s="229"/>
      <x:c r="J17" s="229">
        <x:f t="shared" si="0"/>
        <x:v>77</x:v>
      </x:c>
      <x:c r="K17" s="107">
        <x:f t="shared" si="16"/>
        <x:v>815000</x:v>
      </x:c>
      <x:c r="L17" s="107">
        <x:f t="shared" si="27"/>
        <x:v>349000</x:v>
      </x:c>
      <x:c r="M17" s="107">
        <x:f>HLOOKUP($M$10,$I$1:$T$2,2,FALSE)</x:f>
        <x:v>175000</x:v>
      </x:c>
      <x:c r="N17" s="107"/>
      <x:c r="O17" s="231">
        <x:f t="shared" si="17"/>
        <x:v>1339000</x:v>
      </x:c>
      <x:c r="P17" s="37">
        <x:f t="shared" si="18"/>
        <x:v>77</x:v>
      </x:c>
      <x:c r="Q17" s="107">
        <x:f t="shared" si="19"/>
        <x:v>1339000</x:v>
      </x:c>
      <x:c r="R17" s="229">
        <x:f t="shared" si="26"/>
        <x:v>55</x:v>
      </x:c>
      <x:c r="S17" s="107">
        <x:f t="shared" si="20"/>
        <x:v>960000</x:v>
      </x:c>
      <x:c r="T17" s="232">
        <x:f t="shared" si="1"/>
        <x:v>669500</x:v>
      </x:c>
      <x:c r="U17" s="107">
        <x:f t="shared" si="2"/>
        <x:v>669500</x:v>
      </x:c>
      <x:c r="V17" s="231">
        <x:f t="shared" si="3"/>
        <x:v>480000</x:v>
      </x:c>
      <x:c r="W17" s="37" t="s">
        <x:v>60</x:v>
      </x:c>
      <x:c r="X17" s="107">
        <x:v>20000</x:v>
      </x:c>
      <x:c r="Y17" s="38">
        <x:f t="shared" si="21"/>
        <x:v>53500</x:v>
      </x:c>
      <x:c r="Z17" s="38">
        <x:f t="shared" si="22"/>
        <x:v>80300</x:v>
      </x:c>
      <x:c r="AA17" s="38">
        <x:f t="shared" si="23"/>
        <x:v>107100</x:v>
      </x:c>
      <x:c r="AB17" s="38">
        <x:f t="shared" si="24"/>
        <x:v>133900</x:v>
      </x:c>
      <x:c r="AC17" s="233" t="s">
        <x:v>60</x:v>
      </x:c>
      <x:c r="AD17" s="107">
        <x:v>20000</x:v>
      </x:c>
      <x:c r="AE17" s="38">
        <x:f t="shared" si="4"/>
        <x:v>53500</x:v>
      </x:c>
      <x:c r="AF17" s="38">
        <x:f t="shared" si="5"/>
        <x:v>80300</x:v>
      </x:c>
      <x:c r="AG17" s="38">
        <x:f t="shared" si="6"/>
        <x:v>107100</x:v>
      </x:c>
      <x:c r="AH17" s="38">
        <x:f t="shared" si="7"/>
        <x:v>133900</x:v>
      </x:c>
      <x:c r="AI17" s="234" t="s">
        <x:v>60</x:v>
      </x:c>
      <x:c r="AJ17" s="229" t="s">
        <x:v>60</x:v>
      </x:c>
      <x:c r="AK17" s="38">
        <x:f t="shared" si="8"/>
        <x:v>38400</x:v>
      </x:c>
      <x:c r="AL17" s="38">
        <x:f t="shared" si="9"/>
        <x:v>57600</x:v>
      </x:c>
      <x:c r="AM17" s="38">
        <x:f t="shared" si="10"/>
        <x:v>76800</x:v>
      </x:c>
      <x:c r="AN17" s="38">
        <x:f t="shared" si="11"/>
        <x:v>96000</x:v>
      </x:c>
      <x:c r="AO17" s="234" t="s">
        <x:v>60</x:v>
      </x:c>
      <x:c r="AP17" s="107">
        <x:v>20000</x:v>
      </x:c>
      <x:c r="AQ17" s="38">
        <x:f t="shared" si="28"/>
        <x:v>26700</x:v>
      </x:c>
      <x:c r="AR17" s="38">
        <x:f t="shared" si="29"/>
        <x:v>40100</x:v>
      </x:c>
      <x:c r="AS17" s="38">
        <x:f t="shared" si="30"/>
        <x:v>53500</x:v>
      </x:c>
      <x:c r="AT17" s="237">
        <x:f t="shared" si="31"/>
        <x:v>66900</x:v>
      </x:c>
      <x:c r="AU17" s="234" t="s">
        <x:v>60</x:v>
      </x:c>
      <x:c r="AV17" s="107">
        <x:v>20000</x:v>
      </x:c>
      <x:c r="AW17" s="38">
        <x:f t="shared" si="32"/>
        <x:v>26700</x:v>
      </x:c>
      <x:c r="AX17" s="38">
        <x:f t="shared" si="33"/>
        <x:v>40100</x:v>
      </x:c>
      <x:c r="AY17" s="38">
        <x:f t="shared" si="34"/>
        <x:v>53500</x:v>
      </x:c>
      <x:c r="AZ17" s="38">
        <x:f t="shared" si="35"/>
        <x:v>66900</x:v>
      </x:c>
      <x:c r="BA17" s="235" t="s">
        <x:v>60</x:v>
      </x:c>
      <x:c r="BB17" s="107" t="s">
        <x:v>60</x:v>
      </x:c>
      <x:c r="BC17" s="38">
        <x:f t="shared" si="12"/>
        <x:v>19200</x:v>
      </x:c>
      <x:c r="BD17" s="38">
        <x:f t="shared" si="13"/>
        <x:v>28800</x:v>
      </x:c>
      <x:c r="BE17" s="38">
        <x:f t="shared" si="14"/>
        <x:v>38400</x:v>
      </x:c>
      <x:c r="BF17" s="236">
        <x:f t="shared" si="15"/>
        <x:v>48000</x:v>
      </x:c>
      <x:c r="BG17" s="12"/>
    </x:row>
    <x:row r="18" spans="1:59">
      <x:c r="A18" s="12"/>
      <x:c r="B18" s="37" t="s">
        <x:v>59</x:v>
      </x:c>
      <x:c r="C18" s="229" t="s">
        <x:v>11</x:v>
      </x:c>
      <x:c r="D18" s="229"/>
      <x:c r="E18" s="230"/>
      <x:c r="F18" s="37">
        <x:v>71</x:v>
      </x:c>
      <x:c r="G18" s="229">
        <x:v>10</x:v>
      </x:c>
      <x:c r="H18" s="229"/>
      <x:c r="I18" s="229"/>
      <x:c r="J18" s="229">
        <x:f t="shared" si="0"/>
        <x:v>81</x:v>
      </x:c>
      <x:c r="K18" s="107">
        <x:f t="shared" si="16"/>
        <x:v>1230000</x:v>
      </x:c>
      <x:c r="L18" s="107">
        <x:f t="shared" si="27"/>
        <x:v>175000</x:v>
      </x:c>
      <x:c r="M18" s="107"/>
      <x:c r="N18" s="107"/>
      <x:c r="O18" s="231">
        <x:f t="shared" si="17"/>
        <x:v>1405000</x:v>
      </x:c>
      <x:c r="P18" s="37">
        <x:f t="shared" si="18"/>
        <x:v>81</x:v>
      </x:c>
      <x:c r="Q18" s="107">
        <x:f t="shared" si="19"/>
        <x:v>1405000</x:v>
      </x:c>
      <x:c r="R18" s="229">
        <x:f t="shared" si="26"/>
        <x:v>59</x:v>
      </x:c>
      <x:c r="S18" s="107">
        <x:f t="shared" si="20"/>
        <x:v>1026000</x:v>
      </x:c>
      <x:c r="T18" s="232">
        <x:f t="shared" si="1"/>
        <x:v>702500</x:v>
      </x:c>
      <x:c r="U18" s="107">
        <x:f t="shared" si="2"/>
        <x:v>702500</x:v>
      </x:c>
      <x:c r="V18" s="231">
        <x:f t="shared" si="3"/>
        <x:v>513000</x:v>
      </x:c>
      <x:c r="W18" s="37" t="s">
        <x:v>60</x:v>
      </x:c>
      <x:c r="X18" s="107">
        <x:v>20000</x:v>
      </x:c>
      <x:c r="Y18" s="38">
        <x:f t="shared" si="21"/>
        <x:v>56200</x:v>
      </x:c>
      <x:c r="Z18" s="38">
        <x:f t="shared" si="22"/>
        <x:v>84300</x:v>
      </x:c>
      <x:c r="AA18" s="38">
        <x:f t="shared" si="23"/>
        <x:v>112400</x:v>
      </x:c>
      <x:c r="AB18" s="38">
        <x:f t="shared" si="24"/>
        <x:v>140500</x:v>
      </x:c>
      <x:c r="AC18" s="233" t="s">
        <x:v>60</x:v>
      </x:c>
      <x:c r="AD18" s="107">
        <x:v>20000</x:v>
      </x:c>
      <x:c r="AE18" s="38">
        <x:f t="shared" si="4"/>
        <x:v>56200</x:v>
      </x:c>
      <x:c r="AF18" s="38">
        <x:f t="shared" si="5"/>
        <x:v>84300</x:v>
      </x:c>
      <x:c r="AG18" s="38">
        <x:f t="shared" si="6"/>
        <x:v>112400</x:v>
      </x:c>
      <x:c r="AH18" s="38">
        <x:f t="shared" si="7"/>
        <x:v>140500</x:v>
      </x:c>
      <x:c r="AI18" s="234" t="s">
        <x:v>60</x:v>
      </x:c>
      <x:c r="AJ18" s="229" t="s">
        <x:v>60</x:v>
      </x:c>
      <x:c r="AK18" s="38">
        <x:f t="shared" si="8"/>
        <x:v>41000</x:v>
      </x:c>
      <x:c r="AL18" s="38">
        <x:f t="shared" si="9"/>
        <x:v>61500</x:v>
      </x:c>
      <x:c r="AM18" s="38">
        <x:f t="shared" si="10"/>
        <x:v>82000</x:v>
      </x:c>
      <x:c r="AN18" s="38">
        <x:f t="shared" si="11"/>
        <x:v>102600</x:v>
      </x:c>
      <x:c r="AO18" s="234" t="s">
        <x:v>60</x:v>
      </x:c>
      <x:c r="AP18" s="107">
        <x:v>20000</x:v>
      </x:c>
      <x:c r="AQ18" s="38">
        <x:f t="shared" si="28"/>
        <x:v>28100</x:v>
      </x:c>
      <x:c r="AR18" s="38">
        <x:f t="shared" si="29"/>
        <x:v>42100</x:v>
      </x:c>
      <x:c r="AS18" s="38">
        <x:f t="shared" si="30"/>
        <x:v>56200</x:v>
      </x:c>
      <x:c r="AT18" s="237">
        <x:f t="shared" si="31"/>
        <x:v>70200</x:v>
      </x:c>
      <x:c r="AU18" s="234" t="s">
        <x:v>60</x:v>
      </x:c>
      <x:c r="AV18" s="107">
        <x:v>20000</x:v>
      </x:c>
      <x:c r="AW18" s="38">
        <x:f t="shared" si="32"/>
        <x:v>28100</x:v>
      </x:c>
      <x:c r="AX18" s="38">
        <x:f t="shared" si="33"/>
        <x:v>42100</x:v>
      </x:c>
      <x:c r="AY18" s="38">
        <x:f t="shared" si="34"/>
        <x:v>56200</x:v>
      </x:c>
      <x:c r="AZ18" s="38">
        <x:f t="shared" si="35"/>
        <x:v>70200</x:v>
      </x:c>
      <x:c r="BA18" s="235" t="s">
        <x:v>60</x:v>
      </x:c>
      <x:c r="BB18" s="107" t="s">
        <x:v>60</x:v>
      </x:c>
      <x:c r="BC18" s="38">
        <x:f t="shared" si="12"/>
        <x:v>20500</x:v>
      </x:c>
      <x:c r="BD18" s="38">
        <x:f t="shared" si="13"/>
        <x:v>30700</x:v>
      </x:c>
      <x:c r="BE18" s="38">
        <x:f t="shared" si="14"/>
        <x:v>41000</x:v>
      </x:c>
      <x:c r="BF18" s="236">
        <x:f t="shared" si="15"/>
        <x:v>51300</x:v>
      </x:c>
      <x:c r="BG18" s="12"/>
    </x:row>
    <x:row r="19" spans="1:59">
      <x:c r="A19" s="12"/>
      <x:c r="B19" s="37" t="s">
        <x:v>66</x:v>
      </x:c>
      <x:c r="C19" s="229" t="s">
        <x:v>99</x:v>
      </x:c>
      <x:c r="D19" s="229"/>
      <x:c r="E19" s="230"/>
      <x:c r="F19" s="37">
        <x:v>47</x:v>
      </x:c>
      <x:c r="G19" s="229">
        <x:v>40</x:v>
      </x:c>
      <x:c r="H19" s="229"/>
      <x:c r="I19" s="229"/>
      <x:c r="J19" s="229">
        <x:f t="shared" si="0"/>
        <x:v>87</x:v>
      </x:c>
      <x:c r="K19" s="107">
        <x:f t="shared" si="16"/>
        <x:v>815000</x:v>
      </x:c>
      <x:c r="L19" s="107">
        <x:f t="shared" si="27"/>
        <x:v>694000</x:v>
      </x:c>
      <x:c r="M19" s="107"/>
      <x:c r="N19" s="107"/>
      <x:c r="O19" s="231">
        <x:f t="shared" si="17"/>
        <x:v>1509000</x:v>
      </x:c>
      <x:c r="P19" s="37">
        <x:f t="shared" si="18"/>
        <x:v>87</x:v>
      </x:c>
      <x:c r="Q19" s="107">
        <x:f t="shared" si="19"/>
        <x:v>1509000</x:v>
      </x:c>
      <x:c r="R19" s="229">
        <x:f t="shared" si="26"/>
        <x:v>65</x:v>
      </x:c>
      <x:c r="S19" s="107">
        <x:f t="shared" si="20"/>
        <x:v>1130000</x:v>
      </x:c>
      <x:c r="T19" s="232">
        <x:f t="shared" si="1"/>
        <x:v>754500</x:v>
      </x:c>
      <x:c r="U19" s="107">
        <x:f t="shared" si="2"/>
        <x:v>754500</x:v>
      </x:c>
      <x:c r="V19" s="231">
        <x:f t="shared" si="3"/>
        <x:v>565000</x:v>
      </x:c>
      <x:c r="W19" s="37" t="s">
        <x:v>60</x:v>
      </x:c>
      <x:c r="X19" s="107">
        <x:v>20000</x:v>
      </x:c>
      <x:c r="Y19" s="38">
        <x:f t="shared" si="21"/>
        <x:v>60300</x:v>
      </x:c>
      <x:c r="Z19" s="38">
        <x:f t="shared" si="22"/>
        <x:v>90500</x:v>
      </x:c>
      <x:c r="AA19" s="38">
        <x:f t="shared" si="23"/>
        <x:v>120700</x:v>
      </x:c>
      <x:c r="AB19" s="38">
        <x:f t="shared" si="24"/>
        <x:v>150900</x:v>
      </x:c>
      <x:c r="AC19" s="233" t="s">
        <x:v>60</x:v>
      </x:c>
      <x:c r="AD19" s="107">
        <x:v>20000</x:v>
      </x:c>
      <x:c r="AE19" s="38">
        <x:f t="shared" si="4"/>
        <x:v>60300</x:v>
      </x:c>
      <x:c r="AF19" s="38">
        <x:f t="shared" si="5"/>
        <x:v>90500</x:v>
      </x:c>
      <x:c r="AG19" s="38">
        <x:f t="shared" si="6"/>
        <x:v>120700</x:v>
      </x:c>
      <x:c r="AH19" s="38">
        <x:f t="shared" si="7"/>
        <x:v>150900</x:v>
      </x:c>
      <x:c r="AI19" s="234" t="s">
        <x:v>60</x:v>
      </x:c>
      <x:c r="AJ19" s="229" t="s">
        <x:v>60</x:v>
      </x:c>
      <x:c r="AK19" s="38">
        <x:f t="shared" si="8"/>
        <x:v>45200</x:v>
      </x:c>
      <x:c r="AL19" s="38">
        <x:f t="shared" si="9"/>
        <x:v>67800</x:v>
      </x:c>
      <x:c r="AM19" s="38">
        <x:f t="shared" si="10"/>
        <x:v>90400</x:v>
      </x:c>
      <x:c r="AN19" s="38">
        <x:f t="shared" si="11"/>
        <x:v>113000</x:v>
      </x:c>
      <x:c r="AO19" s="234" t="s">
        <x:v>60</x:v>
      </x:c>
      <x:c r="AP19" s="107">
        <x:v>20000</x:v>
      </x:c>
      <x:c r="AQ19" s="38">
        <x:f t="shared" si="28"/>
        <x:v>30100</x:v>
      </x:c>
      <x:c r="AR19" s="38">
        <x:f t="shared" si="29"/>
        <x:v>45200</x:v>
      </x:c>
      <x:c r="AS19" s="38">
        <x:f t="shared" si="30"/>
        <x:v>60300</x:v>
      </x:c>
      <x:c r="AT19" s="237">
        <x:f t="shared" si="31"/>
        <x:v>75400</x:v>
      </x:c>
      <x:c r="AU19" s="234" t="s">
        <x:v>60</x:v>
      </x:c>
      <x:c r="AV19" s="107">
        <x:v>20000</x:v>
      </x:c>
      <x:c r="AW19" s="38">
        <x:f t="shared" si="32"/>
        <x:v>30100</x:v>
      </x:c>
      <x:c r="AX19" s="38">
        <x:f t="shared" si="33"/>
        <x:v>45200</x:v>
      </x:c>
      <x:c r="AY19" s="38">
        <x:f t="shared" si="34"/>
        <x:v>60300</x:v>
      </x:c>
      <x:c r="AZ19" s="38">
        <x:f t="shared" si="35"/>
        <x:v>75400</x:v>
      </x:c>
      <x:c r="BA19" s="235" t="s">
        <x:v>60</x:v>
      </x:c>
      <x:c r="BB19" s="107" t="s">
        <x:v>60</x:v>
      </x:c>
      <x:c r="BC19" s="38">
        <x:f t="shared" si="12"/>
        <x:v>22600</x:v>
      </x:c>
      <x:c r="BD19" s="38">
        <x:f t="shared" si="13"/>
        <x:v>33900</x:v>
      </x:c>
      <x:c r="BE19" s="38">
        <x:f t="shared" si="14"/>
        <x:v>45200</x:v>
      </x:c>
      <x:c r="BF19" s="236">
        <x:f t="shared" si="15"/>
        <x:v>56500</x:v>
      </x:c>
      <x:c r="BG19" s="12"/>
    </x:row>
    <x:row r="20" spans="1:59">
      <x:c r="A20" s="22"/>
      <x:c r="B20" s="37" t="s">
        <x:v>59</x:v>
      </x:c>
      <x:c r="C20" s="229" t="s">
        <x:v>50</x:v>
      </x:c>
      <x:c r="D20" s="229"/>
      <x:c r="E20" s="230"/>
      <x:c r="F20" s="37">
        <x:v>71</x:v>
      </x:c>
      <x:c r="G20" s="229">
        <x:v>20</x:v>
      </x:c>
      <x:c r="H20" s="229"/>
      <x:c r="I20" s="229"/>
      <x:c r="J20" s="229">
        <x:f t="shared" si="0"/>
        <x:v>91</x:v>
      </x:c>
      <x:c r="K20" s="107">
        <x:f t="shared" si="16"/>
        <x:v>1230000</x:v>
      </x:c>
      <x:c r="L20" s="107">
        <x:f t="shared" si="27"/>
        <x:v>349000</x:v>
      </x:c>
      <x:c r="M20" s="107"/>
      <x:c r="N20" s="107"/>
      <x:c r="O20" s="231">
        <x:f t="shared" si="17"/>
        <x:v>1579000</x:v>
      </x:c>
      <x:c r="P20" s="37">
        <x:f t="shared" si="18"/>
        <x:v>91</x:v>
      </x:c>
      <x:c r="Q20" s="107">
        <x:f t="shared" si="19"/>
        <x:v>1579000</x:v>
      </x:c>
      <x:c r="R20" s="229">
        <x:f t="shared" si="26"/>
        <x:v>69</x:v>
      </x:c>
      <x:c r="S20" s="107">
        <x:f t="shared" si="20"/>
        <x:v>1200000</x:v>
      </x:c>
      <x:c r="T20" s="232">
        <x:f t="shared" si="1"/>
        <x:v>789500</x:v>
      </x:c>
      <x:c r="U20" s="107">
        <x:f t="shared" si="2"/>
        <x:v>789500</x:v>
      </x:c>
      <x:c r="V20" s="231">
        <x:f t="shared" si="3"/>
        <x:v>600000</x:v>
      </x:c>
      <x:c r="W20" s="37" t="s">
        <x:v>60</x:v>
      </x:c>
      <x:c r="X20" s="107">
        <x:v>20000</x:v>
      </x:c>
      <x:c r="Y20" s="38">
        <x:f t="shared" si="21"/>
        <x:v>63100</x:v>
      </x:c>
      <x:c r="Z20" s="38">
        <x:f t="shared" si="22"/>
        <x:v>94700</x:v>
      </x:c>
      <x:c r="AA20" s="38">
        <x:f t="shared" si="23"/>
        <x:v>126300</x:v>
      </x:c>
      <x:c r="AB20" s="38">
        <x:f t="shared" si="24"/>
        <x:v>157900</x:v>
      </x:c>
      <x:c r="AC20" s="233" t="s">
        <x:v>60</x:v>
      </x:c>
      <x:c r="AD20" s="107">
        <x:v>20000</x:v>
      </x:c>
      <x:c r="AE20" s="38">
        <x:f t="shared" si="4"/>
        <x:v>63100</x:v>
      </x:c>
      <x:c r="AF20" s="38">
        <x:f t="shared" si="5"/>
        <x:v>94700</x:v>
      </x:c>
      <x:c r="AG20" s="38">
        <x:f t="shared" si="6"/>
        <x:v>126300</x:v>
      </x:c>
      <x:c r="AH20" s="38">
        <x:f t="shared" si="7"/>
        <x:v>157900</x:v>
      </x:c>
      <x:c r="AI20" s="234" t="s">
        <x:v>60</x:v>
      </x:c>
      <x:c r="AJ20" s="229" t="s">
        <x:v>60</x:v>
      </x:c>
      <x:c r="AK20" s="38">
        <x:f t="shared" si="8"/>
        <x:v>48000</x:v>
      </x:c>
      <x:c r="AL20" s="38">
        <x:f t="shared" si="9"/>
        <x:v>72000</x:v>
      </x:c>
      <x:c r="AM20" s="38">
        <x:f t="shared" si="10"/>
        <x:v>96000</x:v>
      </x:c>
      <x:c r="AN20" s="237">
        <x:f t="shared" si="11"/>
        <x:v>120000</x:v>
      </x:c>
      <x:c r="AO20" s="234" t="s">
        <x:v>60</x:v>
      </x:c>
      <x:c r="AP20" s="107">
        <x:v>20000</x:v>
      </x:c>
      <x:c r="AQ20" s="38">
        <x:f t="shared" si="28"/>
        <x:v>31500</x:v>
      </x:c>
      <x:c r="AR20" s="38">
        <x:f t="shared" si="29"/>
        <x:v>47300</x:v>
      </x:c>
      <x:c r="AS20" s="38">
        <x:f t="shared" si="30"/>
        <x:v>63100</x:v>
      </x:c>
      <x:c r="AT20" s="237">
        <x:f t="shared" si="31"/>
        <x:v>78900</x:v>
      </x:c>
      <x:c r="AU20" s="234" t="s">
        <x:v>60</x:v>
      </x:c>
      <x:c r="AV20" s="107">
        <x:v>20000</x:v>
      </x:c>
      <x:c r="AW20" s="38">
        <x:f t="shared" si="32"/>
        <x:v>31500</x:v>
      </x:c>
      <x:c r="AX20" s="38">
        <x:f t="shared" si="33"/>
        <x:v>47300</x:v>
      </x:c>
      <x:c r="AY20" s="38">
        <x:f t="shared" si="34"/>
        <x:v>63100</x:v>
      </x:c>
      <x:c r="AZ20" s="38">
        <x:f t="shared" si="35"/>
        <x:v>78900</x:v>
      </x:c>
      <x:c r="BA20" s="235" t="s">
        <x:v>60</x:v>
      </x:c>
      <x:c r="BB20" s="107" t="s">
        <x:v>60</x:v>
      </x:c>
      <x:c r="BC20" s="38">
        <x:f t="shared" si="12"/>
        <x:v>24000</x:v>
      </x:c>
      <x:c r="BD20" s="38">
        <x:f t="shared" si="13"/>
        <x:v>36000</x:v>
      </x:c>
      <x:c r="BE20" s="38">
        <x:f t="shared" si="14"/>
        <x:v>48000</x:v>
      </x:c>
      <x:c r="BF20" s="236">
        <x:f t="shared" si="15"/>
        <x:v>60000</x:v>
      </x:c>
      <x:c r="BG20" s="22"/>
    </x:row>
    <x:row r="21" spans="1:59">
      <x:c r="A21" s="22"/>
      <x:c r="B21" s="37" t="s">
        <x:v>59</x:v>
      </x:c>
      <x:c r="C21" s="229" t="s">
        <x:v>52</x:v>
      </x:c>
      <x:c r="D21" s="229"/>
      <x:c r="E21" s="230"/>
      <x:c r="F21" s="37">
        <x:v>71</x:v>
      </x:c>
      <x:c r="G21" s="229">
        <x:v>20</x:v>
      </x:c>
      <x:c r="H21" s="229"/>
      <x:c r="I21" s="229"/>
      <x:c r="J21" s="229">
        <x:f t="shared" si="0"/>
        <x:v>91</x:v>
      </x:c>
      <x:c r="K21" s="107">
        <x:f t="shared" si="16"/>
        <x:v>1230000</x:v>
      </x:c>
      <x:c r="L21" s="107">
        <x:f t="shared" si="27"/>
        <x:v>349000</x:v>
      </x:c>
      <x:c r="M21" s="107"/>
      <x:c r="N21" s="107"/>
      <x:c r="O21" s="231">
        <x:f t="shared" si="17"/>
        <x:v>1579000</x:v>
      </x:c>
      <x:c r="P21" s="37">
        <x:f t="shared" si="18"/>
        <x:v>91</x:v>
      </x:c>
      <x:c r="Q21" s="107">
        <x:f t="shared" si="19"/>
        <x:v>1579000</x:v>
      </x:c>
      <x:c r="R21" s="229">
        <x:f t="shared" si="26"/>
        <x:v>69</x:v>
      </x:c>
      <x:c r="S21" s="107">
        <x:f t="shared" si="20"/>
        <x:v>1200000</x:v>
      </x:c>
      <x:c r="T21" s="232">
        <x:f t="shared" si="1"/>
        <x:v>789500</x:v>
      </x:c>
      <x:c r="U21" s="107">
        <x:f t="shared" si="2"/>
        <x:v>789500</x:v>
      </x:c>
      <x:c r="V21" s="231">
        <x:f t="shared" si="3"/>
        <x:v>600000</x:v>
      </x:c>
      <x:c r="W21" s="37" t="s">
        <x:v>60</x:v>
      </x:c>
      <x:c r="X21" s="107">
        <x:v>20000</x:v>
      </x:c>
      <x:c r="Y21" s="38">
        <x:f t="shared" si="21"/>
        <x:v>63100</x:v>
      </x:c>
      <x:c r="Z21" s="38">
        <x:f t="shared" si="22"/>
        <x:v>94700</x:v>
      </x:c>
      <x:c r="AA21" s="38">
        <x:f t="shared" si="23"/>
        <x:v>126300</x:v>
      </x:c>
      <x:c r="AB21" s="38">
        <x:f t="shared" si="24"/>
        <x:v>157900</x:v>
      </x:c>
      <x:c r="AC21" s="233" t="s">
        <x:v>60</x:v>
      </x:c>
      <x:c r="AD21" s="107">
        <x:v>20000</x:v>
      </x:c>
      <x:c r="AE21" s="38">
        <x:f t="shared" si="4"/>
        <x:v>63100</x:v>
      </x:c>
      <x:c r="AF21" s="38">
        <x:f t="shared" si="5"/>
        <x:v>94700</x:v>
      </x:c>
      <x:c r="AG21" s="38">
        <x:f t="shared" si="6"/>
        <x:v>126300</x:v>
      </x:c>
      <x:c r="AH21" s="38">
        <x:f t="shared" si="7"/>
        <x:v>157900</x:v>
      </x:c>
      <x:c r="AI21" s="234" t="s">
        <x:v>60</x:v>
      </x:c>
      <x:c r="AJ21" s="229" t="s">
        <x:v>60</x:v>
      </x:c>
      <x:c r="AK21" s="38">
        <x:f t="shared" si="8"/>
        <x:v>48000</x:v>
      </x:c>
      <x:c r="AL21" s="38">
        <x:f t="shared" si="9"/>
        <x:v>72000</x:v>
      </x:c>
      <x:c r="AM21" s="38">
        <x:f t="shared" si="10"/>
        <x:v>96000</x:v>
      </x:c>
      <x:c r="AN21" s="237">
        <x:f t="shared" si="11"/>
        <x:v>120000</x:v>
      </x:c>
      <x:c r="AO21" s="234" t="s">
        <x:v>60</x:v>
      </x:c>
      <x:c r="AP21" s="107">
        <x:v>20000</x:v>
      </x:c>
      <x:c r="AQ21" s="38">
        <x:f t="shared" si="28"/>
        <x:v>31500</x:v>
      </x:c>
      <x:c r="AR21" s="38">
        <x:f t="shared" si="29"/>
        <x:v>47300</x:v>
      </x:c>
      <x:c r="AS21" s="38">
        <x:f t="shared" si="30"/>
        <x:v>63100</x:v>
      </x:c>
      <x:c r="AT21" s="237">
        <x:f t="shared" si="31"/>
        <x:v>78900</x:v>
      </x:c>
      <x:c r="AU21" s="234" t="s">
        <x:v>60</x:v>
      </x:c>
      <x:c r="AV21" s="107">
        <x:v>20000</x:v>
      </x:c>
      <x:c r="AW21" s="38">
        <x:f t="shared" si="32"/>
        <x:v>31500</x:v>
      </x:c>
      <x:c r="AX21" s="38">
        <x:f t="shared" si="33"/>
        <x:v>47300</x:v>
      </x:c>
      <x:c r="AY21" s="38">
        <x:f t="shared" si="34"/>
        <x:v>63100</x:v>
      </x:c>
      <x:c r="AZ21" s="38">
        <x:f t="shared" si="35"/>
        <x:v>78900</x:v>
      </x:c>
      <x:c r="BA21" s="235" t="s">
        <x:v>60</x:v>
      </x:c>
      <x:c r="BB21" s="107" t="s">
        <x:v>60</x:v>
      </x:c>
      <x:c r="BC21" s="38">
        <x:f t="shared" si="12"/>
        <x:v>24000</x:v>
      </x:c>
      <x:c r="BD21" s="38">
        <x:f t="shared" si="13"/>
        <x:v>36000</x:v>
      </x:c>
      <x:c r="BE21" s="38">
        <x:f t="shared" si="14"/>
        <x:v>48000</x:v>
      </x:c>
      <x:c r="BF21" s="236">
        <x:f t="shared" si="15"/>
        <x:v>60000</x:v>
      </x:c>
      <x:c r="BG21" s="22"/>
    </x:row>
    <x:row r="22" spans="1:59">
      <x:c r="A22" s="22"/>
      <x:c r="B22" s="37" t="s">
        <x:v>62</x:v>
      </x:c>
      <x:c r="C22" s="229" t="s">
        <x:v>5</x:v>
      </x:c>
      <x:c r="D22" s="229"/>
      <x:c r="E22" s="230"/>
      <x:c r="F22" s="37">
        <x:v>94</x:v>
      </x:c>
      <x:c r="G22" s="229"/>
      <x:c r="H22" s="229"/>
      <x:c r="I22" s="229"/>
      <x:c r="J22" s="229">
        <x:f t="shared" si="0"/>
        <x:v>94</x:v>
      </x:c>
      <x:c r="K22" s="107">
        <x:f t="shared" si="16"/>
        <x:v>1627000</x:v>
      </x:c>
      <x:c r="L22" s="107"/>
      <x:c r="M22" s="107"/>
      <x:c r="N22" s="107"/>
      <x:c r="O22" s="231">
        <x:f t="shared" si="17"/>
        <x:v>1627000</x:v>
      </x:c>
      <x:c r="P22" s="37">
        <x:f t="shared" si="18"/>
        <x:v>94</x:v>
      </x:c>
      <x:c r="Q22" s="107">
        <x:f t="shared" si="19"/>
        <x:v>1627000</x:v>
      </x:c>
      <x:c r="R22" s="229">
        <x:f t="shared" si="26"/>
        <x:v>72</x:v>
      </x:c>
      <x:c r="S22" s="107">
        <x:f t="shared" si="20"/>
        <x:v>1248000</x:v>
      </x:c>
      <x:c r="T22" s="232">
        <x:f t="shared" si="1"/>
        <x:v>813500</x:v>
      </x:c>
      <x:c r="U22" s="107">
        <x:f t="shared" si="2"/>
        <x:v>813500</x:v>
      </x:c>
      <x:c r="V22" s="231">
        <x:f t="shared" si="3"/>
        <x:v>624000</x:v>
      </x:c>
      <x:c r="W22" s="37" t="s">
        <x:v>60</x:v>
      </x:c>
      <x:c r="X22" s="107">
        <x:v>20000</x:v>
      </x:c>
      <x:c r="Y22" s="38">
        <x:f t="shared" si="21"/>
        <x:v>65000</x:v>
      </x:c>
      <x:c r="Z22" s="38">
        <x:f t="shared" si="22"/>
        <x:v>97600</x:v>
      </x:c>
      <x:c r="AA22" s="38">
        <x:f t="shared" si="23"/>
        <x:v>130100</x:v>
      </x:c>
      <x:c r="AB22" s="38">
        <x:f t="shared" si="24"/>
        <x:v>162700</x:v>
      </x:c>
      <x:c r="AC22" s="233" t="s">
        <x:v>60</x:v>
      </x:c>
      <x:c r="AD22" s="107">
        <x:v>20000</x:v>
      </x:c>
      <x:c r="AE22" s="38">
        <x:f t="shared" si="4"/>
        <x:v>65000</x:v>
      </x:c>
      <x:c r="AF22" s="38">
        <x:f t="shared" si="5"/>
        <x:v>97600</x:v>
      </x:c>
      <x:c r="AG22" s="38">
        <x:f t="shared" si="6"/>
        <x:v>130100</x:v>
      </x:c>
      <x:c r="AH22" s="38">
        <x:f t="shared" si="7"/>
        <x:v>162700</x:v>
      </x:c>
      <x:c r="AI22" s="234" t="s">
        <x:v>60</x:v>
      </x:c>
      <x:c r="AJ22" s="229" t="s">
        <x:v>60</x:v>
      </x:c>
      <x:c r="AK22" s="38">
        <x:f t="shared" si="8"/>
        <x:v>49900</x:v>
      </x:c>
      <x:c r="AL22" s="38">
        <x:f t="shared" si="9"/>
        <x:v>74800</x:v>
      </x:c>
      <x:c r="AM22" s="38">
        <x:f t="shared" si="10"/>
        <x:v>99800</x:v>
      </x:c>
      <x:c r="AN22" s="237">
        <x:f t="shared" si="11"/>
        <x:v>124800</x:v>
      </x:c>
      <x:c r="AO22" s="234" t="s">
        <x:v>60</x:v>
      </x:c>
      <x:c r="AP22" s="107">
        <x:v>20000</x:v>
      </x:c>
      <x:c r="AQ22" s="38">
        <x:f t="shared" si="28"/>
        <x:v>32500</x:v>
      </x:c>
      <x:c r="AR22" s="38">
        <x:f t="shared" si="29"/>
        <x:v>48800</x:v>
      </x:c>
      <x:c r="AS22" s="38">
        <x:f t="shared" si="30"/>
        <x:v>65000</x:v>
      </x:c>
      <x:c r="AT22" s="237">
        <x:f t="shared" si="31"/>
        <x:v>81300</x:v>
      </x:c>
      <x:c r="AU22" s="234" t="s">
        <x:v>60</x:v>
      </x:c>
      <x:c r="AV22" s="107">
        <x:v>20000</x:v>
      </x:c>
      <x:c r="AW22" s="38">
        <x:f t="shared" si="32"/>
        <x:v>32500</x:v>
      </x:c>
      <x:c r="AX22" s="38">
        <x:f t="shared" si="33"/>
        <x:v>48800</x:v>
      </x:c>
      <x:c r="AY22" s="38">
        <x:f t="shared" si="34"/>
        <x:v>65000</x:v>
      </x:c>
      <x:c r="AZ22" s="38">
        <x:f t="shared" si="35"/>
        <x:v>81300</x:v>
      </x:c>
      <x:c r="BA22" s="235" t="s">
        <x:v>60</x:v>
      </x:c>
      <x:c r="BB22" s="107" t="s">
        <x:v>60</x:v>
      </x:c>
      <x:c r="BC22" s="38">
        <x:f t="shared" si="12"/>
        <x:v>24900</x:v>
      </x:c>
      <x:c r="BD22" s="38">
        <x:f t="shared" si="13"/>
        <x:v>37400</x:v>
      </x:c>
      <x:c r="BE22" s="38">
        <x:f t="shared" si="14"/>
        <x:v>49900</x:v>
      </x:c>
      <x:c r="BF22" s="236">
        <x:f t="shared" si="15"/>
        <x:v>62400</x:v>
      </x:c>
      <x:c r="BG22" s="22"/>
    </x:row>
    <x:row r="23" spans="1:59">
      <x:c r="A23" s="22"/>
      <x:c r="B23" s="37" t="s">
        <x:v>66</x:v>
      </x:c>
      <x:c r="C23" s="229" t="s">
        <x:v>11</x:v>
      </x:c>
      <x:c r="D23" s="229"/>
      <x:c r="E23" s="230" t="s">
        <x:v>6</x:v>
      </x:c>
      <x:c r="F23" s="37">
        <x:v>47</x:v>
      </x:c>
      <x:c r="G23" s="229">
        <x:v>10</x:v>
      </x:c>
      <x:c r="H23" s="229"/>
      <x:c r="I23" s="229">
        <x:v>40</x:v>
      </x:c>
      <x:c r="J23" s="229">
        <x:f t="shared" si="0"/>
        <x:v>97</x:v>
      </x:c>
      <x:c r="K23" s="107">
        <x:f t="shared" si="16"/>
        <x:v>815000</x:v>
      </x:c>
      <x:c r="L23" s="107">
        <x:f t="shared" ref="L23:L33" si="36">HLOOKUP(C23,$I$1:$T$2,2,FALSE)</x:f>
        <x:v>175000</x:v>
      </x:c>
      <x:c r="M23" s="107"/>
      <x:c r="N23" s="107">
        <x:f>HLOOKUP($N$10,$I$1:$T$2,2,FALSE)</x:f>
        <x:v>694000</x:v>
      </x:c>
      <x:c r="O23" s="231">
        <x:f t="shared" si="17"/>
        <x:v>1684000</x:v>
      </x:c>
      <x:c r="P23" s="37">
        <x:f t="shared" si="18"/>
        <x:v>97</x:v>
      </x:c>
      <x:c r="Q23" s="107">
        <x:f t="shared" si="19"/>
        <x:v>1684000</x:v>
      </x:c>
      <x:c r="R23" s="229">
        <x:f t="shared" si="26"/>
        <x:v>75</x:v>
      </x:c>
      <x:c r="S23" s="107">
        <x:f t="shared" si="20"/>
        <x:v>1305000</x:v>
      </x:c>
      <x:c r="T23" s="232">
        <x:f t="shared" si="1"/>
        <x:v>842000</x:v>
      </x:c>
      <x:c r="U23" s="107">
        <x:f t="shared" si="2"/>
        <x:v>842000</x:v>
      </x:c>
      <x:c r="V23" s="231">
        <x:f t="shared" si="3"/>
        <x:v>652500</x:v>
      </x:c>
      <x:c r="W23" s="37" t="s">
        <x:v>60</x:v>
      </x:c>
      <x:c r="X23" s="107">
        <x:v>20000</x:v>
      </x:c>
      <x:c r="Y23" s="38">
        <x:f t="shared" si="21"/>
        <x:v>67300</x:v>
      </x:c>
      <x:c r="Z23" s="38">
        <x:f t="shared" si="22"/>
        <x:v>101000</x:v>
      </x:c>
      <x:c r="AA23" s="38">
        <x:f t="shared" si="23"/>
        <x:v>134700</x:v>
      </x:c>
      <x:c r="AB23" s="38">
        <x:f t="shared" si="24"/>
        <x:v>168400</x:v>
      </x:c>
      <x:c r="AC23" s="233" t="s">
        <x:v>60</x:v>
      </x:c>
      <x:c r="AD23" s="107">
        <x:v>20000</x:v>
      </x:c>
      <x:c r="AE23" s="38">
        <x:f t="shared" si="4"/>
        <x:v>67300</x:v>
      </x:c>
      <x:c r="AF23" s="38">
        <x:f t="shared" si="5"/>
        <x:v>101000</x:v>
      </x:c>
      <x:c r="AG23" s="38">
        <x:f t="shared" si="6"/>
        <x:v>134700</x:v>
      </x:c>
      <x:c r="AH23" s="38">
        <x:f t="shared" si="7"/>
        <x:v>168400</x:v>
      </x:c>
      <x:c r="AI23" s="234" t="s">
        <x:v>60</x:v>
      </x:c>
      <x:c r="AJ23" s="229" t="s">
        <x:v>60</x:v>
      </x:c>
      <x:c r="AK23" s="38">
        <x:f t="shared" si="8"/>
        <x:v>52200</x:v>
      </x:c>
      <x:c r="AL23" s="38">
        <x:f t="shared" si="9"/>
        <x:v>78300</x:v>
      </x:c>
      <x:c r="AM23" s="38">
        <x:f t="shared" si="10"/>
        <x:v>104400</x:v>
      </x:c>
      <x:c r="AN23" s="237">
        <x:f t="shared" si="11"/>
        <x:v>130500</x:v>
      </x:c>
      <x:c r="AO23" s="234" t="s">
        <x:v>60</x:v>
      </x:c>
      <x:c r="AP23" s="107">
        <x:v>20000</x:v>
      </x:c>
      <x:c r="AQ23" s="38">
        <x:f t="shared" si="28"/>
        <x:v>33600</x:v>
      </x:c>
      <x:c r="AR23" s="38">
        <x:f t="shared" si="29"/>
        <x:v>50500</x:v>
      </x:c>
      <x:c r="AS23" s="38">
        <x:f t="shared" si="30"/>
        <x:v>67300</x:v>
      </x:c>
      <x:c r="AT23" s="237">
        <x:f t="shared" si="31"/>
        <x:v>84200</x:v>
      </x:c>
      <x:c r="AU23" s="234" t="s">
        <x:v>60</x:v>
      </x:c>
      <x:c r="AV23" s="107">
        <x:v>20000</x:v>
      </x:c>
      <x:c r="AW23" s="38">
        <x:f t="shared" si="32"/>
        <x:v>33600</x:v>
      </x:c>
      <x:c r="AX23" s="38">
        <x:f t="shared" si="33"/>
        <x:v>50500</x:v>
      </x:c>
      <x:c r="AY23" s="38">
        <x:f t="shared" si="34"/>
        <x:v>67300</x:v>
      </x:c>
      <x:c r="AZ23" s="38">
        <x:f t="shared" si="35"/>
        <x:v>84200</x:v>
      </x:c>
      <x:c r="BA23" s="235" t="s">
        <x:v>60</x:v>
      </x:c>
      <x:c r="BB23" s="107" t="s">
        <x:v>60</x:v>
      </x:c>
      <x:c r="BC23" s="38">
        <x:f t="shared" si="12"/>
        <x:v>26100</x:v>
      </x:c>
      <x:c r="BD23" s="38">
        <x:f t="shared" si="13"/>
        <x:v>39100</x:v>
      </x:c>
      <x:c r="BE23" s="38">
        <x:f t="shared" si="14"/>
        <x:v>52200</x:v>
      </x:c>
      <x:c r="BF23" s="236">
        <x:f t="shared" si="15"/>
        <x:v>65200</x:v>
      </x:c>
      <x:c r="BG23" s="22"/>
    </x:row>
    <x:row r="24" spans="1:59">
      <x:c r="A24" s="22"/>
      <x:c r="B24" s="37" t="s">
        <x:v>59</x:v>
      </x:c>
      <x:c r="C24" s="229" t="s">
        <x:v>50</x:v>
      </x:c>
      <x:c r="D24" s="229" t="s">
        <x:v>6</x:v>
      </x:c>
      <x:c r="E24" s="230"/>
      <x:c r="F24" s="37">
        <x:v>71</x:v>
      </x:c>
      <x:c r="G24" s="229">
        <x:v>20</x:v>
      </x:c>
      <x:c r="H24" s="229">
        <x:v>10</x:v>
      </x:c>
      <x:c r="I24" s="229"/>
      <x:c r="J24" s="229">
        <x:f t="shared" si="0"/>
        <x:v>101</x:v>
      </x:c>
      <x:c r="K24" s="107">
        <x:f t="shared" si="16"/>
        <x:v>1230000</x:v>
      </x:c>
      <x:c r="L24" s="107">
        <x:f t="shared" si="36"/>
        <x:v>349000</x:v>
      </x:c>
      <x:c r="M24" s="107">
        <x:f t="shared" ref="M24:M25" si="37">HLOOKUP($M$10,$I$1:$T$2,2,FALSE)</x:f>
        <x:v>175000</x:v>
      </x:c>
      <x:c r="N24" s="107"/>
      <x:c r="O24" s="231">
        <x:f t="shared" si="17"/>
        <x:v>1754000</x:v>
      </x:c>
      <x:c r="P24" s="37">
        <x:f t="shared" si="18"/>
        <x:v>101</x:v>
      </x:c>
      <x:c r="Q24" s="107">
        <x:f t="shared" si="19"/>
        <x:v>1754000</x:v>
      </x:c>
      <x:c r="R24" s="229">
        <x:f t="shared" si="26"/>
        <x:v>79</x:v>
      </x:c>
      <x:c r="S24" s="107">
        <x:f t="shared" si="20"/>
        <x:v>1375000</x:v>
      </x:c>
      <x:c r="T24" s="232">
        <x:f t="shared" si="1"/>
        <x:v>877000</x:v>
      </x:c>
      <x:c r="U24" s="107">
        <x:f t="shared" si="2"/>
        <x:v>877000</x:v>
      </x:c>
      <x:c r="V24" s="231">
        <x:f t="shared" si="3"/>
        <x:v>687500</x:v>
      </x:c>
      <x:c r="W24" s="37" t="s">
        <x:v>60</x:v>
      </x:c>
      <x:c r="X24" s="107">
        <x:v>20000</x:v>
      </x:c>
      <x:c r="Y24" s="38">
        <x:f t="shared" si="21"/>
        <x:v>70100</x:v>
      </x:c>
      <x:c r="Z24" s="38">
        <x:f t="shared" si="22"/>
        <x:v>105200</x:v>
      </x:c>
      <x:c r="AA24" s="38">
        <x:f t="shared" si="23"/>
        <x:v>140300</x:v>
      </x:c>
      <x:c r="AB24" s="38">
        <x:f t="shared" si="24"/>
        <x:v>175400</x:v>
      </x:c>
      <x:c r="AC24" s="233" t="s">
        <x:v>60</x:v>
      </x:c>
      <x:c r="AD24" s="107">
        <x:v>20000</x:v>
      </x:c>
      <x:c r="AE24" s="38">
        <x:f t="shared" si="4"/>
        <x:v>70100</x:v>
      </x:c>
      <x:c r="AF24" s="38">
        <x:f t="shared" si="5"/>
        <x:v>105200</x:v>
      </x:c>
      <x:c r="AG24" s="38">
        <x:f t="shared" si="6"/>
        <x:v>140300</x:v>
      </x:c>
      <x:c r="AH24" s="38">
        <x:f t="shared" si="7"/>
        <x:v>175400</x:v>
      </x:c>
      <x:c r="AI24" s="234" t="s">
        <x:v>60</x:v>
      </x:c>
      <x:c r="AJ24" s="229" t="s">
        <x:v>60</x:v>
      </x:c>
      <x:c r="AK24" s="38">
        <x:f t="shared" si="8"/>
        <x:v>55000</x:v>
      </x:c>
      <x:c r="AL24" s="38">
        <x:f t="shared" si="9"/>
        <x:v>82500</x:v>
      </x:c>
      <x:c r="AM24" s="38">
        <x:f t="shared" si="10"/>
        <x:v>110000</x:v>
      </x:c>
      <x:c r="AN24" s="237">
        <x:f t="shared" si="11"/>
        <x:v>137500</x:v>
      </x:c>
      <x:c r="AO24" s="234" t="s">
        <x:v>60</x:v>
      </x:c>
      <x:c r="AP24" s="107">
        <x:v>20000</x:v>
      </x:c>
      <x:c r="AQ24" s="38">
        <x:f t="shared" si="28"/>
        <x:v>35000</x:v>
      </x:c>
      <x:c r="AR24" s="38">
        <x:f t="shared" si="29"/>
        <x:v>52600</x:v>
      </x:c>
      <x:c r="AS24" s="38">
        <x:f t="shared" si="30"/>
        <x:v>70100</x:v>
      </x:c>
      <x:c r="AT24" s="237">
        <x:f t="shared" si="31"/>
        <x:v>87700</x:v>
      </x:c>
      <x:c r="AU24" s="234" t="s">
        <x:v>60</x:v>
      </x:c>
      <x:c r="AV24" s="107">
        <x:v>20000</x:v>
      </x:c>
      <x:c r="AW24" s="38">
        <x:f t="shared" si="32"/>
        <x:v>35000</x:v>
      </x:c>
      <x:c r="AX24" s="38">
        <x:f t="shared" si="33"/>
        <x:v>52600</x:v>
      </x:c>
      <x:c r="AY24" s="38">
        <x:f t="shared" si="34"/>
        <x:v>70100</x:v>
      </x:c>
      <x:c r="AZ24" s="38">
        <x:f t="shared" si="35"/>
        <x:v>87700</x:v>
      </x:c>
      <x:c r="BA24" s="235" t="s">
        <x:v>60</x:v>
      </x:c>
      <x:c r="BB24" s="107" t="s">
        <x:v>60</x:v>
      </x:c>
      <x:c r="BC24" s="38">
        <x:f t="shared" si="12"/>
        <x:v>27500</x:v>
      </x:c>
      <x:c r="BD24" s="38">
        <x:f t="shared" si="13"/>
        <x:v>41200</x:v>
      </x:c>
      <x:c r="BE24" s="38">
        <x:f t="shared" si="14"/>
        <x:v>55000</x:v>
      </x:c>
      <x:c r="BF24" s="236">
        <x:f t="shared" si="15"/>
        <x:v>68700</x:v>
      </x:c>
      <x:c r="BG24" s="22"/>
    </x:row>
    <x:row r="25" spans="1:59">
      <x:c r="A25" s="22"/>
      <x:c r="B25" s="37" t="s">
        <x:v>59</x:v>
      </x:c>
      <x:c r="C25" s="229" t="s">
        <x:v>52</x:v>
      </x:c>
      <x:c r="D25" s="229" t="s">
        <x:v>6</x:v>
      </x:c>
      <x:c r="E25" s="230"/>
      <x:c r="F25" s="37">
        <x:v>71</x:v>
      </x:c>
      <x:c r="G25" s="229">
        <x:v>20</x:v>
      </x:c>
      <x:c r="H25" s="229">
        <x:v>10</x:v>
      </x:c>
      <x:c r="I25" s="229"/>
      <x:c r="J25" s="229">
        <x:f t="shared" si="0"/>
        <x:v>101</x:v>
      </x:c>
      <x:c r="K25" s="107">
        <x:f t="shared" si="16"/>
        <x:v>1230000</x:v>
      </x:c>
      <x:c r="L25" s="107">
        <x:f t="shared" si="36"/>
        <x:v>349000</x:v>
      </x:c>
      <x:c r="M25" s="107">
        <x:f t="shared" si="37"/>
        <x:v>175000</x:v>
      </x:c>
      <x:c r="N25" s="107"/>
      <x:c r="O25" s="231">
        <x:f t="shared" si="17"/>
        <x:v>1754000</x:v>
      </x:c>
      <x:c r="P25" s="37">
        <x:f t="shared" si="18"/>
        <x:v>101</x:v>
      </x:c>
      <x:c r="Q25" s="107">
        <x:f t="shared" si="19"/>
        <x:v>1754000</x:v>
      </x:c>
      <x:c r="R25" s="229">
        <x:f t="shared" si="26"/>
        <x:v>79</x:v>
      </x:c>
      <x:c r="S25" s="107">
        <x:f t="shared" si="20"/>
        <x:v>1375000</x:v>
      </x:c>
      <x:c r="T25" s="232">
        <x:f t="shared" si="1"/>
        <x:v>877000</x:v>
      </x:c>
      <x:c r="U25" s="107">
        <x:f t="shared" si="2"/>
        <x:v>877000</x:v>
      </x:c>
      <x:c r="V25" s="231">
        <x:f t="shared" si="3"/>
        <x:v>687500</x:v>
      </x:c>
      <x:c r="W25" s="37" t="s">
        <x:v>60</x:v>
      </x:c>
      <x:c r="X25" s="107">
        <x:v>20000</x:v>
      </x:c>
      <x:c r="Y25" s="38">
        <x:f t="shared" si="21"/>
        <x:v>70100</x:v>
      </x:c>
      <x:c r="Z25" s="38">
        <x:f t="shared" si="22"/>
        <x:v>105200</x:v>
      </x:c>
      <x:c r="AA25" s="38">
        <x:f t="shared" si="23"/>
        <x:v>140300</x:v>
      </x:c>
      <x:c r="AB25" s="38">
        <x:f t="shared" si="24"/>
        <x:v>175400</x:v>
      </x:c>
      <x:c r="AC25" s="233" t="s">
        <x:v>60</x:v>
      </x:c>
      <x:c r="AD25" s="107">
        <x:v>20000</x:v>
      </x:c>
      <x:c r="AE25" s="38">
        <x:f t="shared" si="4"/>
        <x:v>70100</x:v>
      </x:c>
      <x:c r="AF25" s="38">
        <x:f t="shared" si="5"/>
        <x:v>105200</x:v>
      </x:c>
      <x:c r="AG25" s="38">
        <x:f t="shared" si="6"/>
        <x:v>140300</x:v>
      </x:c>
      <x:c r="AH25" s="38">
        <x:f t="shared" si="7"/>
        <x:v>175400</x:v>
      </x:c>
      <x:c r="AI25" s="234" t="s">
        <x:v>60</x:v>
      </x:c>
      <x:c r="AJ25" s="229" t="s">
        <x:v>60</x:v>
      </x:c>
      <x:c r="AK25" s="38">
        <x:f t="shared" si="8"/>
        <x:v>55000</x:v>
      </x:c>
      <x:c r="AL25" s="38">
        <x:f t="shared" si="9"/>
        <x:v>82500</x:v>
      </x:c>
      <x:c r="AM25" s="38">
        <x:f t="shared" si="10"/>
        <x:v>110000</x:v>
      </x:c>
      <x:c r="AN25" s="237">
        <x:f t="shared" si="11"/>
        <x:v>137500</x:v>
      </x:c>
      <x:c r="AO25" s="234" t="s">
        <x:v>60</x:v>
      </x:c>
      <x:c r="AP25" s="107">
        <x:v>20000</x:v>
      </x:c>
      <x:c r="AQ25" s="38">
        <x:f t="shared" si="28"/>
        <x:v>35000</x:v>
      </x:c>
      <x:c r="AR25" s="38">
        <x:f t="shared" si="29"/>
        <x:v>52600</x:v>
      </x:c>
      <x:c r="AS25" s="38">
        <x:f t="shared" si="30"/>
        <x:v>70100</x:v>
      </x:c>
      <x:c r="AT25" s="237">
        <x:f t="shared" si="31"/>
        <x:v>87700</x:v>
      </x:c>
      <x:c r="AU25" s="234" t="s">
        <x:v>60</x:v>
      </x:c>
      <x:c r="AV25" s="107">
        <x:v>20000</x:v>
      </x:c>
      <x:c r="AW25" s="38">
        <x:f t="shared" si="32"/>
        <x:v>35000</x:v>
      </x:c>
      <x:c r="AX25" s="38">
        <x:f t="shared" si="33"/>
        <x:v>52600</x:v>
      </x:c>
      <x:c r="AY25" s="38">
        <x:f t="shared" si="34"/>
        <x:v>70100</x:v>
      </x:c>
      <x:c r="AZ25" s="38">
        <x:f t="shared" si="35"/>
        <x:v>87700</x:v>
      </x:c>
      <x:c r="BA25" s="235" t="s">
        <x:v>60</x:v>
      </x:c>
      <x:c r="BB25" s="107" t="s">
        <x:v>60</x:v>
      </x:c>
      <x:c r="BC25" s="38">
        <x:f t="shared" si="12"/>
        <x:v>27500</x:v>
      </x:c>
      <x:c r="BD25" s="38">
        <x:f t="shared" si="13"/>
        <x:v>41200</x:v>
      </x:c>
      <x:c r="BE25" s="38">
        <x:f t="shared" si="14"/>
        <x:v>55000</x:v>
      </x:c>
      <x:c r="BF25" s="236">
        <x:f t="shared" si="15"/>
        <x:v>68700</x:v>
      </x:c>
      <x:c r="BG25" s="22"/>
    </x:row>
    <x:row r="26" spans="1:59">
      <x:c r="A26" s="22"/>
      <x:c r="B26" s="37" t="s">
        <x:v>62</x:v>
      </x:c>
      <x:c r="C26" s="229" t="s">
        <x:v>11</x:v>
      </x:c>
      <x:c r="D26" s="229"/>
      <x:c r="E26" s="230"/>
      <x:c r="F26" s="37">
        <x:v>94</x:v>
      </x:c>
      <x:c r="G26" s="229">
        <x:v>10</x:v>
      </x:c>
      <x:c r="H26" s="229"/>
      <x:c r="I26" s="229"/>
      <x:c r="J26" s="229">
        <x:f t="shared" si="0"/>
        <x:v>104</x:v>
      </x:c>
      <x:c r="K26" s="107">
        <x:f t="shared" si="16"/>
        <x:v>1627000</x:v>
      </x:c>
      <x:c r="L26" s="107">
        <x:f t="shared" si="36"/>
        <x:v>175000</x:v>
      </x:c>
      <x:c r="M26" s="107"/>
      <x:c r="N26" s="107"/>
      <x:c r="O26" s="231">
        <x:f t="shared" si="17"/>
        <x:v>1802000</x:v>
      </x:c>
      <x:c r="P26" s="37">
        <x:f t="shared" si="18"/>
        <x:v>104</x:v>
      </x:c>
      <x:c r="Q26" s="107">
        <x:f t="shared" si="19"/>
        <x:v>1802000</x:v>
      </x:c>
      <x:c r="R26" s="229">
        <x:f t="shared" si="26"/>
        <x:v>82</x:v>
      </x:c>
      <x:c r="S26" s="107">
        <x:f t="shared" si="20"/>
        <x:v>1423000</x:v>
      </x:c>
      <x:c r="T26" s="232">
        <x:f t="shared" si="1"/>
        <x:v>901000</x:v>
      </x:c>
      <x:c r="U26" s="107">
        <x:f t="shared" si="2"/>
        <x:v>901000</x:v>
      </x:c>
      <x:c r="V26" s="231">
        <x:f t="shared" si="3"/>
        <x:v>711500</x:v>
      </x:c>
      <x:c r="W26" s="37" t="s">
        <x:v>60</x:v>
      </x:c>
      <x:c r="X26" s="107">
        <x:v>20000</x:v>
      </x:c>
      <x:c r="Y26" s="38">
        <x:f t="shared" si="21"/>
        <x:v>72000</x:v>
      </x:c>
      <x:c r="Z26" s="38">
        <x:f t="shared" si="22"/>
        <x:v>108100</x:v>
      </x:c>
      <x:c r="AA26" s="38">
        <x:f t="shared" si="23"/>
        <x:v>144100</x:v>
      </x:c>
      <x:c r="AB26" s="38">
        <x:f t="shared" si="24"/>
        <x:v>180200</x:v>
      </x:c>
      <x:c r="AC26" s="233" t="s">
        <x:v>60</x:v>
      </x:c>
      <x:c r="AD26" s="107">
        <x:v>20000</x:v>
      </x:c>
      <x:c r="AE26" s="38">
        <x:f t="shared" si="4"/>
        <x:v>72000</x:v>
      </x:c>
      <x:c r="AF26" s="38">
        <x:f t="shared" si="5"/>
        <x:v>108100</x:v>
      </x:c>
      <x:c r="AG26" s="38">
        <x:f t="shared" si="6"/>
        <x:v>144100</x:v>
      </x:c>
      <x:c r="AH26" s="38">
        <x:f t="shared" si="7"/>
        <x:v>180200</x:v>
      </x:c>
      <x:c r="AI26" s="234" t="s">
        <x:v>60</x:v>
      </x:c>
      <x:c r="AJ26" s="229" t="s">
        <x:v>60</x:v>
      </x:c>
      <x:c r="AK26" s="38">
        <x:f t="shared" si="8"/>
        <x:v>56900</x:v>
      </x:c>
      <x:c r="AL26" s="38">
        <x:f t="shared" si="9"/>
        <x:v>85300</x:v>
      </x:c>
      <x:c r="AM26" s="38">
        <x:f t="shared" si="10"/>
        <x:v>113800</x:v>
      </x:c>
      <x:c r="AN26" s="237">
        <x:f t="shared" si="11"/>
        <x:v>142300</x:v>
      </x:c>
      <x:c r="AO26" s="234" t="s">
        <x:v>60</x:v>
      </x:c>
      <x:c r="AP26" s="107">
        <x:v>20000</x:v>
      </x:c>
      <x:c r="AQ26" s="38">
        <x:f t="shared" si="28"/>
        <x:v>36000</x:v>
      </x:c>
      <x:c r="AR26" s="38">
        <x:f t="shared" si="29"/>
        <x:v>54000</x:v>
      </x:c>
      <x:c r="AS26" s="38">
        <x:f t="shared" si="30"/>
        <x:v>72000</x:v>
      </x:c>
      <x:c r="AT26" s="237">
        <x:f t="shared" si="31"/>
        <x:v>90100</x:v>
      </x:c>
      <x:c r="AU26" s="234" t="s">
        <x:v>60</x:v>
      </x:c>
      <x:c r="AV26" s="107">
        <x:v>20000</x:v>
      </x:c>
      <x:c r="AW26" s="38">
        <x:f t="shared" si="32"/>
        <x:v>36000</x:v>
      </x:c>
      <x:c r="AX26" s="38">
        <x:f t="shared" si="33"/>
        <x:v>54000</x:v>
      </x:c>
      <x:c r="AY26" s="38">
        <x:f t="shared" si="34"/>
        <x:v>72000</x:v>
      </x:c>
      <x:c r="AZ26" s="38">
        <x:f t="shared" si="35"/>
        <x:v>90100</x:v>
      </x:c>
      <x:c r="BA26" s="235" t="s">
        <x:v>60</x:v>
      </x:c>
      <x:c r="BB26" s="107" t="s">
        <x:v>60</x:v>
      </x:c>
      <x:c r="BC26" s="38">
        <x:f t="shared" si="12"/>
        <x:v>28400</x:v>
      </x:c>
      <x:c r="BD26" s="38">
        <x:f t="shared" si="13"/>
        <x:v>42600</x:v>
      </x:c>
      <x:c r="BE26" s="38">
        <x:f t="shared" si="14"/>
        <x:v>56900</x:v>
      </x:c>
      <x:c r="BF26" s="236">
        <x:f t="shared" si="15"/>
        <x:v>71100</x:v>
      </x:c>
      <x:c r="BG26" s="22"/>
    </x:row>
    <x:row r="27" spans="1:59">
      <x:c r="A27" s="22"/>
      <x:c r="B27" s="37" t="s">
        <x:v>66</x:v>
      </x:c>
      <x:c r="C27" s="229" t="s">
        <x:v>50</x:v>
      </x:c>
      <x:c r="D27" s="229"/>
      <x:c r="E27" s="230" t="s">
        <x:v>6</x:v>
      </x:c>
      <x:c r="F27" s="37">
        <x:v>47</x:v>
      </x:c>
      <x:c r="G27" s="229">
        <x:v>20</x:v>
      </x:c>
      <x:c r="H27" s="229"/>
      <x:c r="I27" s="229">
        <x:v>40</x:v>
      </x:c>
      <x:c r="J27" s="229">
        <x:f t="shared" si="0"/>
        <x:v>107</x:v>
      </x:c>
      <x:c r="K27" s="107">
        <x:f t="shared" si="16"/>
        <x:v>815000</x:v>
      </x:c>
      <x:c r="L27" s="107">
        <x:f t="shared" si="36"/>
        <x:v>349000</x:v>
      </x:c>
      <x:c r="M27" s="107"/>
      <x:c r="N27" s="107">
        <x:f t="shared" ref="N27:N28" si="38">HLOOKUP($N$10,$I$1:$T$2,2,FALSE)</x:f>
        <x:v>694000</x:v>
      </x:c>
      <x:c r="O27" s="231">
        <x:f t="shared" si="17"/>
        <x:v>1858000</x:v>
      </x:c>
      <x:c r="P27" s="37">
        <x:f t="shared" si="18"/>
        <x:v>107</x:v>
      </x:c>
      <x:c r="Q27" s="107">
        <x:f t="shared" si="19"/>
        <x:v>1858000</x:v>
      </x:c>
      <x:c r="R27" s="229">
        <x:f t="shared" si="26"/>
        <x:v>85</x:v>
      </x:c>
      <x:c r="S27" s="107">
        <x:f t="shared" si="20"/>
        <x:v>1479000</x:v>
      </x:c>
      <x:c r="T27" s="232">
        <x:f t="shared" si="1"/>
        <x:v>929000</x:v>
      </x:c>
      <x:c r="U27" s="107">
        <x:f t="shared" si="2"/>
        <x:v>929000</x:v>
      </x:c>
      <x:c r="V27" s="231">
        <x:f t="shared" si="3"/>
        <x:v>739500</x:v>
      </x:c>
      <x:c r="W27" s="37" t="s">
        <x:v>60</x:v>
      </x:c>
      <x:c r="X27" s="107">
        <x:v>20000</x:v>
      </x:c>
      <x:c r="Y27" s="38">
        <x:f t="shared" si="21"/>
        <x:v>74300</x:v>
      </x:c>
      <x:c r="Z27" s="38">
        <x:f t="shared" si="22"/>
        <x:v>111400</x:v>
      </x:c>
      <x:c r="AA27" s="38">
        <x:f t="shared" si="23"/>
        <x:v>148600</x:v>
      </x:c>
      <x:c r="AB27" s="38">
        <x:f t="shared" si="24"/>
        <x:v>185800</x:v>
      </x:c>
      <x:c r="AC27" s="233" t="s">
        <x:v>60</x:v>
      </x:c>
      <x:c r="AD27" s="107">
        <x:v>20000</x:v>
      </x:c>
      <x:c r="AE27" s="38">
        <x:f t="shared" si="4"/>
        <x:v>74300</x:v>
      </x:c>
      <x:c r="AF27" s="38">
        <x:f t="shared" si="5"/>
        <x:v>111400</x:v>
      </x:c>
      <x:c r="AG27" s="38">
        <x:f t="shared" si="6"/>
        <x:v>148600</x:v>
      </x:c>
      <x:c r="AH27" s="38">
        <x:f t="shared" si="7"/>
        <x:v>185800</x:v>
      </x:c>
      <x:c r="AI27" s="234" t="s">
        <x:v>60</x:v>
      </x:c>
      <x:c r="AJ27" s="229" t="s">
        <x:v>60</x:v>
      </x:c>
      <x:c r="AK27" s="38">
        <x:f t="shared" si="8"/>
        <x:v>59100</x:v>
      </x:c>
      <x:c r="AL27" s="38">
        <x:f t="shared" si="9"/>
        <x:v>88700</x:v>
      </x:c>
      <x:c r="AM27" s="38">
        <x:f t="shared" si="10"/>
        <x:v>118300</x:v>
      </x:c>
      <x:c r="AN27" s="237">
        <x:f t="shared" si="11"/>
        <x:v>147900</x:v>
      </x:c>
      <x:c r="AO27" s="234" t="s">
        <x:v>60</x:v>
      </x:c>
      <x:c r="AP27" s="107">
        <x:v>20000</x:v>
      </x:c>
      <x:c r="AQ27" s="38">
        <x:f t="shared" si="28"/>
        <x:v>37100</x:v>
      </x:c>
      <x:c r="AR27" s="38">
        <x:f t="shared" si="29"/>
        <x:v>55700</x:v>
      </x:c>
      <x:c r="AS27" s="38">
        <x:f t="shared" si="30"/>
        <x:v>74300</x:v>
      </x:c>
      <x:c r="AT27" s="237">
        <x:f t="shared" si="31"/>
        <x:v>92900</x:v>
      </x:c>
      <x:c r="AU27" s="234" t="s">
        <x:v>60</x:v>
      </x:c>
      <x:c r="AV27" s="107">
        <x:v>20000</x:v>
      </x:c>
      <x:c r="AW27" s="38">
        <x:f t="shared" si="32"/>
        <x:v>37100</x:v>
      </x:c>
      <x:c r="AX27" s="38">
        <x:f t="shared" si="33"/>
        <x:v>55700</x:v>
      </x:c>
      <x:c r="AY27" s="38">
        <x:f t="shared" si="34"/>
        <x:v>74300</x:v>
      </x:c>
      <x:c r="AZ27" s="38">
        <x:f t="shared" si="35"/>
        <x:v>92900</x:v>
      </x:c>
      <x:c r="BA27" s="235" t="s">
        <x:v>60</x:v>
      </x:c>
      <x:c r="BB27" s="107" t="s">
        <x:v>60</x:v>
      </x:c>
      <x:c r="BC27" s="38">
        <x:f t="shared" si="12"/>
        <x:v>29500</x:v>
      </x:c>
      <x:c r="BD27" s="38">
        <x:f t="shared" si="13"/>
        <x:v>44300</x:v>
      </x:c>
      <x:c r="BE27" s="38">
        <x:f t="shared" si="14"/>
        <x:v>59100</x:v>
      </x:c>
      <x:c r="BF27" s="236">
        <x:f t="shared" si="15"/>
        <x:v>73900</x:v>
      </x:c>
      <x:c r="BG27" s="22"/>
    </x:row>
    <x:row r="28" spans="1:59">
      <x:c r="A28" s="12"/>
      <x:c r="B28" s="37" t="s">
        <x:v>66</x:v>
      </x:c>
      <x:c r="C28" s="229" t="s">
        <x:v>52</x:v>
      </x:c>
      <x:c r="D28" s="229"/>
      <x:c r="E28" s="230" t="s">
        <x:v>6</x:v>
      </x:c>
      <x:c r="F28" s="37">
        <x:v>47</x:v>
      </x:c>
      <x:c r="G28" s="229">
        <x:v>20</x:v>
      </x:c>
      <x:c r="H28" s="229"/>
      <x:c r="I28" s="229">
        <x:v>40</x:v>
      </x:c>
      <x:c r="J28" s="229">
        <x:f t="shared" si="0"/>
        <x:v>107</x:v>
      </x:c>
      <x:c r="K28" s="107">
        <x:f t="shared" si="16"/>
        <x:v>815000</x:v>
      </x:c>
      <x:c r="L28" s="107">
        <x:f t="shared" si="36"/>
        <x:v>349000</x:v>
      </x:c>
      <x:c r="M28" s="107"/>
      <x:c r="N28" s="107">
        <x:f t="shared" si="38"/>
        <x:v>694000</x:v>
      </x:c>
      <x:c r="O28" s="231">
        <x:f t="shared" si="17"/>
        <x:v>1858000</x:v>
      </x:c>
      <x:c r="P28" s="37">
        <x:f t="shared" si="18"/>
        <x:v>107</x:v>
      </x:c>
      <x:c r="Q28" s="107">
        <x:f t="shared" si="19"/>
        <x:v>1858000</x:v>
      </x:c>
      <x:c r="R28" s="229">
        <x:f t="shared" si="26"/>
        <x:v>85</x:v>
      </x:c>
      <x:c r="S28" s="107">
        <x:f t="shared" si="20"/>
        <x:v>1479000</x:v>
      </x:c>
      <x:c r="T28" s="232">
        <x:f t="shared" si="1"/>
        <x:v>929000</x:v>
      </x:c>
      <x:c r="U28" s="107">
        <x:f t="shared" si="2"/>
        <x:v>929000</x:v>
      </x:c>
      <x:c r="V28" s="231">
        <x:f t="shared" si="3"/>
        <x:v>739500</x:v>
      </x:c>
      <x:c r="W28" s="37" t="s">
        <x:v>60</x:v>
      </x:c>
      <x:c r="X28" s="107">
        <x:v>20000</x:v>
      </x:c>
      <x:c r="Y28" s="38">
        <x:f t="shared" si="21"/>
        <x:v>74300</x:v>
      </x:c>
      <x:c r="Z28" s="38">
        <x:f t="shared" si="22"/>
        <x:v>111400</x:v>
      </x:c>
      <x:c r="AA28" s="38">
        <x:f t="shared" si="23"/>
        <x:v>148600</x:v>
      </x:c>
      <x:c r="AB28" s="38">
        <x:f t="shared" si="24"/>
        <x:v>185800</x:v>
      </x:c>
      <x:c r="AC28" s="233" t="s">
        <x:v>60</x:v>
      </x:c>
      <x:c r="AD28" s="107">
        <x:v>20000</x:v>
      </x:c>
      <x:c r="AE28" s="38">
        <x:f t="shared" si="4"/>
        <x:v>74300</x:v>
      </x:c>
      <x:c r="AF28" s="38">
        <x:f t="shared" si="5"/>
        <x:v>111400</x:v>
      </x:c>
      <x:c r="AG28" s="38">
        <x:f t="shared" si="6"/>
        <x:v>148600</x:v>
      </x:c>
      <x:c r="AH28" s="38">
        <x:f t="shared" si="7"/>
        <x:v>185800</x:v>
      </x:c>
      <x:c r="AI28" s="234" t="s">
        <x:v>60</x:v>
      </x:c>
      <x:c r="AJ28" s="229" t="s">
        <x:v>60</x:v>
      </x:c>
      <x:c r="AK28" s="38">
        <x:f t="shared" si="8"/>
        <x:v>59100</x:v>
      </x:c>
      <x:c r="AL28" s="38">
        <x:f t="shared" si="9"/>
        <x:v>88700</x:v>
      </x:c>
      <x:c r="AM28" s="38">
        <x:f t="shared" si="10"/>
        <x:v>118300</x:v>
      </x:c>
      <x:c r="AN28" s="237">
        <x:f t="shared" si="11"/>
        <x:v>147900</x:v>
      </x:c>
      <x:c r="AO28" s="234" t="s">
        <x:v>60</x:v>
      </x:c>
      <x:c r="AP28" s="107">
        <x:v>20000</x:v>
      </x:c>
      <x:c r="AQ28" s="38">
        <x:f t="shared" si="28"/>
        <x:v>37100</x:v>
      </x:c>
      <x:c r="AR28" s="38">
        <x:f t="shared" si="29"/>
        <x:v>55700</x:v>
      </x:c>
      <x:c r="AS28" s="38">
        <x:f t="shared" si="30"/>
        <x:v>74300</x:v>
      </x:c>
      <x:c r="AT28" s="237">
        <x:f t="shared" si="31"/>
        <x:v>92900</x:v>
      </x:c>
      <x:c r="AU28" s="234" t="s">
        <x:v>60</x:v>
      </x:c>
      <x:c r="AV28" s="107">
        <x:v>20000</x:v>
      </x:c>
      <x:c r="AW28" s="38">
        <x:f t="shared" si="32"/>
        <x:v>37100</x:v>
      </x:c>
      <x:c r="AX28" s="38">
        <x:f t="shared" si="33"/>
        <x:v>55700</x:v>
      </x:c>
      <x:c r="AY28" s="38">
        <x:f t="shared" si="34"/>
        <x:v>74300</x:v>
      </x:c>
      <x:c r="AZ28" s="38">
        <x:f t="shared" si="35"/>
        <x:v>92900</x:v>
      </x:c>
      <x:c r="BA28" s="235" t="s">
        <x:v>60</x:v>
      </x:c>
      <x:c r="BB28" s="107" t="s">
        <x:v>60</x:v>
      </x:c>
      <x:c r="BC28" s="38">
        <x:f t="shared" si="12"/>
        <x:v>29500</x:v>
      </x:c>
      <x:c r="BD28" s="38">
        <x:f t="shared" si="13"/>
        <x:v>44300</x:v>
      </x:c>
      <x:c r="BE28" s="38">
        <x:f t="shared" si="14"/>
        <x:v>59100</x:v>
      </x:c>
      <x:c r="BF28" s="236">
        <x:f t="shared" si="15"/>
        <x:v>73900</x:v>
      </x:c>
      <x:c r="BG28" s="12"/>
    </x:row>
    <x:row r="29" spans="1:59">
      <x:c r="A29" s="12"/>
      <x:c r="B29" s="37" t="s">
        <x:v>59</x:v>
      </x:c>
      <x:c r="C29" s="229" t="s">
        <x:v>99</x:v>
      </x:c>
      <x:c r="D29" s="229"/>
      <x:c r="E29" s="230"/>
      <x:c r="F29" s="37">
        <x:v>71</x:v>
      </x:c>
      <x:c r="G29" s="229">
        <x:v>40</x:v>
      </x:c>
      <x:c r="H29" s="229"/>
      <x:c r="I29" s="229"/>
      <x:c r="J29" s="229">
        <x:f t="shared" si="0"/>
        <x:v>111</x:v>
      </x:c>
      <x:c r="K29" s="107">
        <x:f t="shared" si="16"/>
        <x:v>1230000</x:v>
      </x:c>
      <x:c r="L29" s="107">
        <x:f t="shared" si="36"/>
        <x:v>694000</x:v>
      </x:c>
      <x:c r="M29" s="107"/>
      <x:c r="N29" s="107"/>
      <x:c r="O29" s="231">
        <x:f t="shared" si="17"/>
        <x:v>1924000</x:v>
      </x:c>
      <x:c r="P29" s="37">
        <x:f t="shared" si="18"/>
        <x:v>111</x:v>
      </x:c>
      <x:c r="Q29" s="107">
        <x:f t="shared" si="19"/>
        <x:v>1924000</x:v>
      </x:c>
      <x:c r="R29" s="229">
        <x:f t="shared" si="26"/>
        <x:v>89</x:v>
      </x:c>
      <x:c r="S29" s="107">
        <x:f t="shared" si="20"/>
        <x:v>1545000</x:v>
      </x:c>
      <x:c r="T29" s="232">
        <x:f t="shared" si="1"/>
        <x:v>962000</x:v>
      </x:c>
      <x:c r="U29" s="107">
        <x:f t="shared" si="2"/>
        <x:v>962000</x:v>
      </x:c>
      <x:c r="V29" s="231">
        <x:f t="shared" si="3"/>
        <x:v>772500</x:v>
      </x:c>
      <x:c r="W29" s="37" t="s">
        <x:v>60</x:v>
      </x:c>
      <x:c r="X29" s="107">
        <x:v>20000</x:v>
      </x:c>
      <x:c r="Y29" s="38">
        <x:f t="shared" si="21"/>
        <x:v>76900</x:v>
      </x:c>
      <x:c r="Z29" s="38">
        <x:f t="shared" si="22"/>
        <x:v>115400</x:v>
      </x:c>
      <x:c r="AA29" s="38">
        <x:f t="shared" si="23"/>
        <x:v>153900</x:v>
      </x:c>
      <x:c r="AB29" s="38">
        <x:f t="shared" si="24"/>
        <x:v>192400</x:v>
      </x:c>
      <x:c r="AC29" s="233" t="s">
        <x:v>60</x:v>
      </x:c>
      <x:c r="AD29" s="107">
        <x:v>20000</x:v>
      </x:c>
      <x:c r="AE29" s="38">
        <x:f t="shared" si="4"/>
        <x:v>76900</x:v>
      </x:c>
      <x:c r="AF29" s="38">
        <x:f t="shared" si="5"/>
        <x:v>115400</x:v>
      </x:c>
      <x:c r="AG29" s="38">
        <x:f t="shared" si="6"/>
        <x:v>153900</x:v>
      </x:c>
      <x:c r="AH29" s="38">
        <x:f t="shared" si="7"/>
        <x:v>192400</x:v>
      </x:c>
      <x:c r="AI29" s="234" t="s">
        <x:v>60</x:v>
      </x:c>
      <x:c r="AJ29" s="229" t="s">
        <x:v>60</x:v>
      </x:c>
      <x:c r="AK29" s="38">
        <x:f t="shared" si="8"/>
        <x:v>61800</x:v>
      </x:c>
      <x:c r="AL29" s="38">
        <x:f t="shared" si="9"/>
        <x:v>92700</x:v>
      </x:c>
      <x:c r="AM29" s="38">
        <x:f t="shared" si="10"/>
        <x:v>123600</x:v>
      </x:c>
      <x:c r="AN29" s="237">
        <x:f t="shared" si="11"/>
        <x:v>154500</x:v>
      </x:c>
      <x:c r="AO29" s="234" t="s">
        <x:v>60</x:v>
      </x:c>
      <x:c r="AP29" s="107">
        <x:v>20000</x:v>
      </x:c>
      <x:c r="AQ29" s="38">
        <x:f t="shared" si="28"/>
        <x:v>38400</x:v>
      </x:c>
      <x:c r="AR29" s="38">
        <x:f t="shared" si="29"/>
        <x:v>57700</x:v>
      </x:c>
      <x:c r="AS29" s="38">
        <x:f t="shared" si="30"/>
        <x:v>76900</x:v>
      </x:c>
      <x:c r="AT29" s="237">
        <x:f t="shared" si="31"/>
        <x:v>96200</x:v>
      </x:c>
      <x:c r="AU29" s="234" t="s">
        <x:v>60</x:v>
      </x:c>
      <x:c r="AV29" s="107">
        <x:v>20000</x:v>
      </x:c>
      <x:c r="AW29" s="38">
        <x:f t="shared" si="32"/>
        <x:v>38400</x:v>
      </x:c>
      <x:c r="AX29" s="38">
        <x:f t="shared" si="33"/>
        <x:v>57700</x:v>
      </x:c>
      <x:c r="AY29" s="38">
        <x:f t="shared" si="34"/>
        <x:v>76900</x:v>
      </x:c>
      <x:c r="AZ29" s="38">
        <x:f t="shared" si="35"/>
        <x:v>96200</x:v>
      </x:c>
      <x:c r="BA29" s="235" t="s">
        <x:v>60</x:v>
      </x:c>
      <x:c r="BB29" s="107" t="s">
        <x:v>60</x:v>
      </x:c>
      <x:c r="BC29" s="38">
        <x:f t="shared" si="12"/>
        <x:v>30900</x:v>
      </x:c>
      <x:c r="BD29" s="38">
        <x:f t="shared" si="13"/>
        <x:v>46300</x:v>
      </x:c>
      <x:c r="BE29" s="38">
        <x:f t="shared" si="14"/>
        <x:v>61800</x:v>
      </x:c>
      <x:c r="BF29" s="236">
        <x:f t="shared" si="15"/>
        <x:v>77200</x:v>
      </x:c>
      <x:c r="BG29" s="12"/>
    </x:row>
    <x:row r="30" spans="1:59">
      <x:c r="A30" s="12"/>
      <x:c r="B30" s="37" t="s">
        <x:v>62</x:v>
      </x:c>
      <x:c r="C30" s="229" t="s">
        <x:v>50</x:v>
      </x:c>
      <x:c r="D30" s="229"/>
      <x:c r="E30" s="230"/>
      <x:c r="F30" s="37">
        <x:v>94</x:v>
      </x:c>
      <x:c r="G30" s="229">
        <x:v>20</x:v>
      </x:c>
      <x:c r="H30" s="229"/>
      <x:c r="I30" s="229"/>
      <x:c r="J30" s="229">
        <x:f t="shared" si="0"/>
        <x:v>114</x:v>
      </x:c>
      <x:c r="K30" s="107">
        <x:f t="shared" si="16"/>
        <x:v>1627000</x:v>
      </x:c>
      <x:c r="L30" s="107">
        <x:f t="shared" si="36"/>
        <x:v>349000</x:v>
      </x:c>
      <x:c r="M30" s="107"/>
      <x:c r="N30" s="107"/>
      <x:c r="O30" s="231">
        <x:f t="shared" si="17"/>
        <x:v>1976000</x:v>
      </x:c>
      <x:c r="P30" s="37">
        <x:f t="shared" si="18"/>
        <x:v>114</x:v>
      </x:c>
      <x:c r="Q30" s="107">
        <x:f t="shared" si="19"/>
        <x:v>1976000</x:v>
      </x:c>
      <x:c r="R30" s="229">
        <x:f t="shared" si="26"/>
        <x:v>92</x:v>
      </x:c>
      <x:c r="S30" s="107">
        <x:f t="shared" si="20"/>
        <x:v>1597000</x:v>
      </x:c>
      <x:c r="T30" s="232">
        <x:f t="shared" si="1"/>
        <x:v>988000</x:v>
      </x:c>
      <x:c r="U30" s="107">
        <x:f t="shared" si="2"/>
        <x:v>988000</x:v>
      </x:c>
      <x:c r="V30" s="231">
        <x:f t="shared" si="3"/>
        <x:v>798500</x:v>
      </x:c>
      <x:c r="W30" s="37" t="s">
        <x:v>60</x:v>
      </x:c>
      <x:c r="X30" s="107">
        <x:v>20000</x:v>
      </x:c>
      <x:c r="Y30" s="38">
        <x:f t="shared" si="21"/>
        <x:v>79000</x:v>
      </x:c>
      <x:c r="Z30" s="38">
        <x:f t="shared" si="22"/>
        <x:v>118500</x:v>
      </x:c>
      <x:c r="AA30" s="38">
        <x:f t="shared" si="23"/>
        <x:v>158000</x:v>
      </x:c>
      <x:c r="AB30" s="38">
        <x:f t="shared" si="24"/>
        <x:v>197600</x:v>
      </x:c>
      <x:c r="AC30" s="233" t="s">
        <x:v>60</x:v>
      </x:c>
      <x:c r="AD30" s="107">
        <x:v>20000</x:v>
      </x:c>
      <x:c r="AE30" s="38">
        <x:f t="shared" si="4"/>
        <x:v>79000</x:v>
      </x:c>
      <x:c r="AF30" s="38">
        <x:f t="shared" si="5"/>
        <x:v>118500</x:v>
      </x:c>
      <x:c r="AG30" s="38">
        <x:f t="shared" si="6"/>
        <x:v>158000</x:v>
      </x:c>
      <x:c r="AH30" s="38">
        <x:f t="shared" si="7"/>
        <x:v>197600</x:v>
      </x:c>
      <x:c r="AI30" s="234" t="s">
        <x:v>60</x:v>
      </x:c>
      <x:c r="AJ30" s="229" t="s">
        <x:v>60</x:v>
      </x:c>
      <x:c r="AK30" s="38">
        <x:f t="shared" si="8"/>
        <x:v>63800</x:v>
      </x:c>
      <x:c r="AL30" s="38">
        <x:f t="shared" si="9"/>
        <x:v>95800</x:v>
      </x:c>
      <x:c r="AM30" s="38">
        <x:f t="shared" si="10"/>
        <x:v>127700</x:v>
      </x:c>
      <x:c r="AN30" s="237">
        <x:f t="shared" si="11"/>
        <x:v>159700</x:v>
      </x:c>
      <x:c r="AO30" s="234" t="s">
        <x:v>60</x:v>
      </x:c>
      <x:c r="AP30" s="107">
        <x:v>20000</x:v>
      </x:c>
      <x:c r="AQ30" s="38">
        <x:f t="shared" si="28"/>
        <x:v>39500</x:v>
      </x:c>
      <x:c r="AR30" s="38">
        <x:f t="shared" si="29"/>
        <x:v>59200</x:v>
      </x:c>
      <x:c r="AS30" s="38">
        <x:f t="shared" si="30"/>
        <x:v>79000</x:v>
      </x:c>
      <x:c r="AT30" s="237">
        <x:f t="shared" si="31"/>
        <x:v>98800</x:v>
      </x:c>
      <x:c r="AU30" s="234" t="s">
        <x:v>60</x:v>
      </x:c>
      <x:c r="AV30" s="107">
        <x:v>20000</x:v>
      </x:c>
      <x:c r="AW30" s="38">
        <x:f t="shared" si="32"/>
        <x:v>39500</x:v>
      </x:c>
      <x:c r="AX30" s="38">
        <x:f t="shared" si="33"/>
        <x:v>59200</x:v>
      </x:c>
      <x:c r="AY30" s="38">
        <x:f t="shared" si="34"/>
        <x:v>79000</x:v>
      </x:c>
      <x:c r="AZ30" s="38">
        <x:f t="shared" si="35"/>
        <x:v>98800</x:v>
      </x:c>
      <x:c r="BA30" s="235" t="s">
        <x:v>60</x:v>
      </x:c>
      <x:c r="BB30" s="107" t="s">
        <x:v>60</x:v>
      </x:c>
      <x:c r="BC30" s="38">
        <x:f t="shared" si="12"/>
        <x:v>31900</x:v>
      </x:c>
      <x:c r="BD30" s="38">
        <x:f t="shared" si="13"/>
        <x:v>47900</x:v>
      </x:c>
      <x:c r="BE30" s="38">
        <x:f t="shared" si="14"/>
        <x:v>63800</x:v>
      </x:c>
      <x:c r="BF30" s="236">
        <x:f t="shared" si="15"/>
        <x:v>79800</x:v>
      </x:c>
      <x:c r="BG30" s="12"/>
    </x:row>
    <x:row r="31" spans="1:59">
      <x:c r="A31" s="22"/>
      <x:c r="B31" s="37" t="s">
        <x:v>62</x:v>
      </x:c>
      <x:c r="C31" s="229" t="s">
        <x:v>52</x:v>
      </x:c>
      <x:c r="D31" s="229"/>
      <x:c r="E31" s="230"/>
      <x:c r="F31" s="37">
        <x:v>94</x:v>
      </x:c>
      <x:c r="G31" s="229">
        <x:v>20</x:v>
      </x:c>
      <x:c r="H31" s="229"/>
      <x:c r="I31" s="229"/>
      <x:c r="J31" s="229">
        <x:f t="shared" si="0"/>
        <x:v>114</x:v>
      </x:c>
      <x:c r="K31" s="107">
        <x:f t="shared" si="16"/>
        <x:v>1627000</x:v>
      </x:c>
      <x:c r="L31" s="107">
        <x:f t="shared" si="36"/>
        <x:v>349000</x:v>
      </x:c>
      <x:c r="M31" s="107"/>
      <x:c r="N31" s="107"/>
      <x:c r="O31" s="231">
        <x:f t="shared" si="17"/>
        <x:v>1976000</x:v>
      </x:c>
      <x:c r="P31" s="37">
        <x:f t="shared" si="18"/>
        <x:v>114</x:v>
      </x:c>
      <x:c r="Q31" s="107">
        <x:f t="shared" si="19"/>
        <x:v>1976000</x:v>
      </x:c>
      <x:c r="R31" s="229">
        <x:f t="shared" si="26"/>
        <x:v>92</x:v>
      </x:c>
      <x:c r="S31" s="107">
        <x:f t="shared" si="20"/>
        <x:v>1597000</x:v>
      </x:c>
      <x:c r="T31" s="232">
        <x:f t="shared" si="1"/>
        <x:v>988000</x:v>
      </x:c>
      <x:c r="U31" s="107">
        <x:f t="shared" si="2"/>
        <x:v>988000</x:v>
      </x:c>
      <x:c r="V31" s="231">
        <x:f t="shared" si="3"/>
        <x:v>798500</x:v>
      </x:c>
      <x:c r="W31" s="37" t="s">
        <x:v>60</x:v>
      </x:c>
      <x:c r="X31" s="107">
        <x:v>20000</x:v>
      </x:c>
      <x:c r="Y31" s="38">
        <x:f t="shared" si="21"/>
        <x:v>79000</x:v>
      </x:c>
      <x:c r="Z31" s="38">
        <x:f t="shared" si="22"/>
        <x:v>118500</x:v>
      </x:c>
      <x:c r="AA31" s="38">
        <x:f t="shared" si="23"/>
        <x:v>158000</x:v>
      </x:c>
      <x:c r="AB31" s="38">
        <x:f t="shared" si="24"/>
        <x:v>197600</x:v>
      </x:c>
      <x:c r="AC31" s="233" t="s">
        <x:v>60</x:v>
      </x:c>
      <x:c r="AD31" s="107">
        <x:v>20000</x:v>
      </x:c>
      <x:c r="AE31" s="38">
        <x:f t="shared" si="4"/>
        <x:v>79000</x:v>
      </x:c>
      <x:c r="AF31" s="38">
        <x:f t="shared" si="5"/>
        <x:v>118500</x:v>
      </x:c>
      <x:c r="AG31" s="38">
        <x:f t="shared" si="6"/>
        <x:v>158000</x:v>
      </x:c>
      <x:c r="AH31" s="38">
        <x:f t="shared" si="7"/>
        <x:v>197600</x:v>
      </x:c>
      <x:c r="AI31" s="234" t="s">
        <x:v>60</x:v>
      </x:c>
      <x:c r="AJ31" s="229" t="s">
        <x:v>60</x:v>
      </x:c>
      <x:c r="AK31" s="38">
        <x:f t="shared" si="8"/>
        <x:v>63800</x:v>
      </x:c>
      <x:c r="AL31" s="38">
        <x:f t="shared" si="9"/>
        <x:v>95800</x:v>
      </x:c>
      <x:c r="AM31" s="38">
        <x:f t="shared" si="10"/>
        <x:v>127700</x:v>
      </x:c>
      <x:c r="AN31" s="237">
        <x:f t="shared" si="11"/>
        <x:v>159700</x:v>
      </x:c>
      <x:c r="AO31" s="234" t="s">
        <x:v>60</x:v>
      </x:c>
      <x:c r="AP31" s="107">
        <x:v>20000</x:v>
      </x:c>
      <x:c r="AQ31" s="38">
        <x:f t="shared" si="28"/>
        <x:v>39500</x:v>
      </x:c>
      <x:c r="AR31" s="38">
        <x:f t="shared" si="29"/>
        <x:v>59200</x:v>
      </x:c>
      <x:c r="AS31" s="38">
        <x:f t="shared" si="30"/>
        <x:v>79000</x:v>
      </x:c>
      <x:c r="AT31" s="237">
        <x:f t="shared" si="31"/>
        <x:v>98800</x:v>
      </x:c>
      <x:c r="AU31" s="234" t="s">
        <x:v>60</x:v>
      </x:c>
      <x:c r="AV31" s="107">
        <x:v>20000</x:v>
      </x:c>
      <x:c r="AW31" s="38">
        <x:f t="shared" si="32"/>
        <x:v>39500</x:v>
      </x:c>
      <x:c r="AX31" s="38">
        <x:f t="shared" si="33"/>
        <x:v>59200</x:v>
      </x:c>
      <x:c r="AY31" s="38">
        <x:f t="shared" si="34"/>
        <x:v>79000</x:v>
      </x:c>
      <x:c r="AZ31" s="38">
        <x:f t="shared" si="35"/>
        <x:v>98800</x:v>
      </x:c>
      <x:c r="BA31" s="235" t="s">
        <x:v>60</x:v>
      </x:c>
      <x:c r="BB31" s="107" t="s">
        <x:v>60</x:v>
      </x:c>
      <x:c r="BC31" s="38">
        <x:f t="shared" si="12"/>
        <x:v>31900</x:v>
      </x:c>
      <x:c r="BD31" s="38">
        <x:f t="shared" si="13"/>
        <x:v>47900</x:v>
      </x:c>
      <x:c r="BE31" s="38">
        <x:f t="shared" si="14"/>
        <x:v>63800</x:v>
      </x:c>
      <x:c r="BF31" s="236">
        <x:f t="shared" si="15"/>
        <x:v>79800</x:v>
      </x:c>
      <x:c r="BG31" s="22"/>
    </x:row>
    <x:row r="32" spans="1:59">
      <x:c r="A32" s="22"/>
      <x:c r="B32" s="37" t="s">
        <x:v>66</x:v>
      </x:c>
      <x:c r="C32" s="229" t="s">
        <x:v>50</x:v>
      </x:c>
      <x:c r="D32" s="229"/>
      <x:c r="E32" s="230" t="s">
        <x:v>6</x:v>
      </x:c>
      <x:c r="F32" s="37">
        <x:v>47</x:v>
      </x:c>
      <x:c r="G32" s="229">
        <x:v>20</x:v>
      </x:c>
      <x:c r="H32" s="229">
        <x:v>10</x:v>
      </x:c>
      <x:c r="I32" s="229">
        <x:v>40</x:v>
      </x:c>
      <x:c r="J32" s="229">
        <x:f t="shared" si="0"/>
        <x:v>117</x:v>
      </x:c>
      <x:c r="K32" s="107">
        <x:f t="shared" si="16"/>
        <x:v>815000</x:v>
      </x:c>
      <x:c r="L32" s="107">
        <x:f t="shared" si="36"/>
        <x:v>349000</x:v>
      </x:c>
      <x:c r="M32" s="107">
        <x:f t="shared" ref="M32:M33" si="39">HLOOKUP($M$10,$I$1:$T$2,2,FALSE)</x:f>
        <x:v>175000</x:v>
      </x:c>
      <x:c r="N32" s="107">
        <x:f t="shared" ref="N32:N33" si="40">HLOOKUP($N$10,$I$1:$T$2,2,FALSE)</x:f>
        <x:v>694000</x:v>
      </x:c>
      <x:c r="O32" s="231">
        <x:f t="shared" si="17"/>
        <x:v>2033000</x:v>
      </x:c>
      <x:c r="P32" s="37">
        <x:f t="shared" si="18"/>
        <x:v>117</x:v>
      </x:c>
      <x:c r="Q32" s="107">
        <x:f t="shared" si="19"/>
        <x:v>2033000</x:v>
      </x:c>
      <x:c r="R32" s="229">
        <x:f t="shared" si="26"/>
        <x:v>95</x:v>
      </x:c>
      <x:c r="S32" s="107">
        <x:f t="shared" si="20"/>
        <x:v>1654000</x:v>
      </x:c>
      <x:c r="T32" s="232">
        <x:f t="shared" si="1"/>
        <x:v>1016500</x:v>
      </x:c>
      <x:c r="U32" s="107">
        <x:f t="shared" si="2"/>
        <x:v>1016500</x:v>
      </x:c>
      <x:c r="V32" s="231">
        <x:f t="shared" si="3"/>
        <x:v>827000</x:v>
      </x:c>
      <x:c r="W32" s="37" t="s">
        <x:v>60</x:v>
      </x:c>
      <x:c r="X32" s="107">
        <x:v>20000</x:v>
      </x:c>
      <x:c r="Y32" s="38">
        <x:f t="shared" si="21"/>
        <x:v>81300</x:v>
      </x:c>
      <x:c r="Z32" s="38">
        <x:f t="shared" si="22"/>
        <x:v>121900</x:v>
      </x:c>
      <x:c r="AA32" s="38">
        <x:f t="shared" si="23"/>
        <x:v>162600</x:v>
      </x:c>
      <x:c r="AB32" s="38">
        <x:f t="shared" si="24"/>
        <x:v>203300</x:v>
      </x:c>
      <x:c r="AC32" s="233" t="s">
        <x:v>60</x:v>
      </x:c>
      <x:c r="AD32" s="107">
        <x:v>20000</x:v>
      </x:c>
      <x:c r="AE32" s="38">
        <x:f t="shared" si="4"/>
        <x:v>81300</x:v>
      </x:c>
      <x:c r="AF32" s="38">
        <x:f t="shared" si="5"/>
        <x:v>121900</x:v>
      </x:c>
      <x:c r="AG32" s="38">
        <x:f t="shared" si="6"/>
        <x:v>162600</x:v>
      </x:c>
      <x:c r="AH32" s="38">
        <x:f t="shared" si="7"/>
        <x:v>203300</x:v>
      </x:c>
      <x:c r="AI32" s="234" t="s">
        <x:v>60</x:v>
      </x:c>
      <x:c r="AJ32" s="229" t="s">
        <x:v>60</x:v>
      </x:c>
      <x:c r="AK32" s="38">
        <x:f t="shared" si="8"/>
        <x:v>66100</x:v>
      </x:c>
      <x:c r="AL32" s="38">
        <x:f t="shared" si="9"/>
        <x:v>99200</x:v>
      </x:c>
      <x:c r="AM32" s="38">
        <x:f t="shared" si="10"/>
        <x:v>132300</x:v>
      </x:c>
      <x:c r="AN32" s="237">
        <x:f t="shared" si="11"/>
        <x:v>165400</x:v>
      </x:c>
      <x:c r="AO32" s="234" t="s">
        <x:v>60</x:v>
      </x:c>
      <x:c r="AP32" s="107">
        <x:v>20000</x:v>
      </x:c>
      <x:c r="AQ32" s="38">
        <x:f t="shared" si="28"/>
        <x:v>40600</x:v>
      </x:c>
      <x:c r="AR32" s="38">
        <x:f t="shared" si="29"/>
        <x:v>60900</x:v>
      </x:c>
      <x:c r="AS32" s="38">
        <x:f t="shared" si="30"/>
        <x:v>81300</x:v>
      </x:c>
      <x:c r="AT32" s="237">
        <x:f t="shared" si="31"/>
        <x:v>101600</x:v>
      </x:c>
      <x:c r="AU32" s="234" t="s">
        <x:v>60</x:v>
      </x:c>
      <x:c r="AV32" s="107">
        <x:v>20000</x:v>
      </x:c>
      <x:c r="AW32" s="38">
        <x:f t="shared" si="32"/>
        <x:v>40600</x:v>
      </x:c>
      <x:c r="AX32" s="38">
        <x:f t="shared" si="33"/>
        <x:v>60900</x:v>
      </x:c>
      <x:c r="AY32" s="38">
        <x:f t="shared" si="34"/>
        <x:v>81300</x:v>
      </x:c>
      <x:c r="AZ32" s="38">
        <x:f t="shared" si="35"/>
        <x:v>101600</x:v>
      </x:c>
      <x:c r="BA32" s="235" t="s">
        <x:v>60</x:v>
      </x:c>
      <x:c r="BB32" s="107" t="s">
        <x:v>60</x:v>
      </x:c>
      <x:c r="BC32" s="38">
        <x:f t="shared" si="12"/>
        <x:v>33000</x:v>
      </x:c>
      <x:c r="BD32" s="38">
        <x:f t="shared" si="13"/>
        <x:v>49600</x:v>
      </x:c>
      <x:c r="BE32" s="38">
        <x:f t="shared" si="14"/>
        <x:v>66100</x:v>
      </x:c>
      <x:c r="BF32" s="236">
        <x:f t="shared" si="15"/>
        <x:v>82700</x:v>
      </x:c>
      <x:c r="BG32" s="22"/>
    </x:row>
    <x:row r="33" spans="1:59">
      <x:c r="A33" s="22"/>
      <x:c r="B33" s="37" t="s">
        <x:v>66</x:v>
      </x:c>
      <x:c r="C33" s="229" t="s">
        <x:v>52</x:v>
      </x:c>
      <x:c r="D33" s="229"/>
      <x:c r="E33" s="230" t="s">
        <x:v>6</x:v>
      </x:c>
      <x:c r="F33" s="37">
        <x:v>47</x:v>
      </x:c>
      <x:c r="G33" s="229">
        <x:v>20</x:v>
      </x:c>
      <x:c r="H33" s="229">
        <x:v>10</x:v>
      </x:c>
      <x:c r="I33" s="229">
        <x:v>40</x:v>
      </x:c>
      <x:c r="J33" s="229">
        <x:f t="shared" si="0"/>
        <x:v>117</x:v>
      </x:c>
      <x:c r="K33" s="107">
        <x:f t="shared" si="16"/>
        <x:v>815000</x:v>
      </x:c>
      <x:c r="L33" s="107">
        <x:f t="shared" si="36"/>
        <x:v>349000</x:v>
      </x:c>
      <x:c r="M33" s="107">
        <x:f t="shared" si="39"/>
        <x:v>175000</x:v>
      </x:c>
      <x:c r="N33" s="107">
        <x:f t="shared" si="40"/>
        <x:v>694000</x:v>
      </x:c>
      <x:c r="O33" s="231">
        <x:f t="shared" si="17"/>
        <x:v>2033000</x:v>
      </x:c>
      <x:c r="P33" s="37">
        <x:f t="shared" si="18"/>
        <x:v>117</x:v>
      </x:c>
      <x:c r="Q33" s="107">
        <x:f t="shared" si="19"/>
        <x:v>2033000</x:v>
      </x:c>
      <x:c r="R33" s="229">
        <x:f t="shared" si="26"/>
        <x:v>95</x:v>
      </x:c>
      <x:c r="S33" s="107">
        <x:f t="shared" si="20"/>
        <x:v>1654000</x:v>
      </x:c>
      <x:c r="T33" s="232">
        <x:f t="shared" si="1"/>
        <x:v>1016500</x:v>
      </x:c>
      <x:c r="U33" s="107">
        <x:f t="shared" si="2"/>
        <x:v>1016500</x:v>
      </x:c>
      <x:c r="V33" s="231">
        <x:f t="shared" si="3"/>
        <x:v>827000</x:v>
      </x:c>
      <x:c r="W33" s="37" t="s">
        <x:v>60</x:v>
      </x:c>
      <x:c r="X33" s="107">
        <x:v>20000</x:v>
      </x:c>
      <x:c r="Y33" s="38">
        <x:f t="shared" si="21"/>
        <x:v>81300</x:v>
      </x:c>
      <x:c r="Z33" s="38">
        <x:f t="shared" si="22"/>
        <x:v>121900</x:v>
      </x:c>
      <x:c r="AA33" s="38">
        <x:f t="shared" si="23"/>
        <x:v>162600</x:v>
      </x:c>
      <x:c r="AB33" s="38">
        <x:f t="shared" si="24"/>
        <x:v>203300</x:v>
      </x:c>
      <x:c r="AC33" s="233" t="s">
        <x:v>60</x:v>
      </x:c>
      <x:c r="AD33" s="107">
        <x:v>20000</x:v>
      </x:c>
      <x:c r="AE33" s="38">
        <x:f t="shared" si="4"/>
        <x:v>81300</x:v>
      </x:c>
      <x:c r="AF33" s="38">
        <x:f t="shared" si="5"/>
        <x:v>121900</x:v>
      </x:c>
      <x:c r="AG33" s="38">
        <x:f t="shared" si="6"/>
        <x:v>162600</x:v>
      </x:c>
      <x:c r="AH33" s="38">
        <x:f t="shared" si="7"/>
        <x:v>203300</x:v>
      </x:c>
      <x:c r="AI33" s="234" t="s">
        <x:v>60</x:v>
      </x:c>
      <x:c r="AJ33" s="229" t="s">
        <x:v>60</x:v>
      </x:c>
      <x:c r="AK33" s="38">
        <x:f t="shared" si="8"/>
        <x:v>66100</x:v>
      </x:c>
      <x:c r="AL33" s="38">
        <x:f t="shared" si="9"/>
        <x:v>99200</x:v>
      </x:c>
      <x:c r="AM33" s="38">
        <x:f t="shared" si="10"/>
        <x:v>132300</x:v>
      </x:c>
      <x:c r="AN33" s="237">
        <x:f t="shared" si="11"/>
        <x:v>165400</x:v>
      </x:c>
      <x:c r="AO33" s="234" t="s">
        <x:v>60</x:v>
      </x:c>
      <x:c r="AP33" s="107">
        <x:v>20000</x:v>
      </x:c>
      <x:c r="AQ33" s="38">
        <x:f t="shared" si="28"/>
        <x:v>40600</x:v>
      </x:c>
      <x:c r="AR33" s="38">
        <x:f t="shared" si="29"/>
        <x:v>60900</x:v>
      </x:c>
      <x:c r="AS33" s="38">
        <x:f t="shared" si="30"/>
        <x:v>81300</x:v>
      </x:c>
      <x:c r="AT33" s="237">
        <x:f t="shared" si="31"/>
        <x:v>101600</x:v>
      </x:c>
      <x:c r="AU33" s="234" t="s">
        <x:v>60</x:v>
      </x:c>
      <x:c r="AV33" s="107">
        <x:v>20000</x:v>
      </x:c>
      <x:c r="AW33" s="38">
        <x:f t="shared" si="32"/>
        <x:v>40600</x:v>
      </x:c>
      <x:c r="AX33" s="38">
        <x:f t="shared" si="33"/>
        <x:v>60900</x:v>
      </x:c>
      <x:c r="AY33" s="38">
        <x:f t="shared" si="34"/>
        <x:v>81300</x:v>
      </x:c>
      <x:c r="AZ33" s="38">
        <x:f t="shared" si="35"/>
        <x:v>101600</x:v>
      </x:c>
      <x:c r="BA33" s="235" t="s">
        <x:v>60</x:v>
      </x:c>
      <x:c r="BB33" s="107" t="s">
        <x:v>60</x:v>
      </x:c>
      <x:c r="BC33" s="38">
        <x:f t="shared" si="12"/>
        <x:v>33000</x:v>
      </x:c>
      <x:c r="BD33" s="38">
        <x:f t="shared" si="13"/>
        <x:v>49600</x:v>
      </x:c>
      <x:c r="BE33" s="38">
        <x:f t="shared" si="14"/>
        <x:v>66100</x:v>
      </x:c>
      <x:c r="BF33" s="236">
        <x:f t="shared" si="15"/>
        <x:v>82700</x:v>
      </x:c>
      <x:c r="BG33" s="22"/>
    </x:row>
    <x:row r="34" spans="1:59">
      <x:c r="A34" s="22"/>
      <x:c r="B34" s="37" t="s">
        <x:v>64</x:v>
      </x:c>
      <x:c r="C34" s="229" t="s">
        <x:v>5</x:v>
      </x:c>
      <x:c r="D34" s="229"/>
      <x:c r="E34" s="230"/>
      <x:c r="F34" s="37">
        <x:v>118</x:v>
      </x:c>
      <x:c r="G34" s="229"/>
      <x:c r="H34" s="229"/>
      <x:c r="I34" s="229"/>
      <x:c r="J34" s="229">
        <x:f t="shared" si="0"/>
        <x:v>118</x:v>
      </x:c>
      <x:c r="K34" s="107">
        <x:f t="shared" si="16"/>
        <x:v>2041000</x:v>
      </x:c>
      <x:c r="L34" s="107"/>
      <x:c r="M34" s="107"/>
      <x:c r="N34" s="107"/>
      <x:c r="O34" s="231">
        <x:f t="shared" si="17"/>
        <x:v>2041000</x:v>
      </x:c>
      <x:c r="P34" s="37">
        <x:f t="shared" si="18"/>
        <x:v>118</x:v>
      </x:c>
      <x:c r="Q34" s="107">
        <x:f t="shared" si="19"/>
        <x:v>2041000</x:v>
      </x:c>
      <x:c r="R34" s="229">
        <x:f t="shared" si="26"/>
        <x:v>96</x:v>
      </x:c>
      <x:c r="S34" s="107">
        <x:f t="shared" si="20"/>
        <x:v>1662000</x:v>
      </x:c>
      <x:c r="T34" s="232">
        <x:f t="shared" si="1"/>
        <x:v>1020500</x:v>
      </x:c>
      <x:c r="U34" s="107">
        <x:f t="shared" si="2"/>
        <x:v>1020500</x:v>
      </x:c>
      <x:c r="V34" s="231">
        <x:f t="shared" si="3"/>
        <x:v>831000</x:v>
      </x:c>
      <x:c r="W34" s="37" t="s">
        <x:v>60</x:v>
      </x:c>
      <x:c r="X34" s="107">
        <x:v>20000</x:v>
      </x:c>
      <x:c r="Y34" s="38">
        <x:f t="shared" si="21"/>
        <x:v>81600</x:v>
      </x:c>
      <x:c r="Z34" s="38">
        <x:f t="shared" si="22"/>
        <x:v>122400</x:v>
      </x:c>
      <x:c r="AA34" s="38">
        <x:f t="shared" si="23"/>
        <x:v>163200</x:v>
      </x:c>
      <x:c r="AB34" s="38">
        <x:f t="shared" si="24"/>
        <x:v>204100</x:v>
      </x:c>
      <x:c r="AC34" s="233" t="s">
        <x:v>60</x:v>
      </x:c>
      <x:c r="AD34" s="107">
        <x:v>20000</x:v>
      </x:c>
      <x:c r="AE34" s="38">
        <x:f t="shared" si="4"/>
        <x:v>81600</x:v>
      </x:c>
      <x:c r="AF34" s="38">
        <x:f t="shared" si="5"/>
        <x:v>122400</x:v>
      </x:c>
      <x:c r="AG34" s="38">
        <x:f t="shared" si="6"/>
        <x:v>163200</x:v>
      </x:c>
      <x:c r="AH34" s="38">
        <x:f t="shared" si="7"/>
        <x:v>204100</x:v>
      </x:c>
      <x:c r="AI34" s="234" t="s">
        <x:v>60</x:v>
      </x:c>
      <x:c r="AJ34" s="229" t="s">
        <x:v>60</x:v>
      </x:c>
      <x:c r="AK34" s="38">
        <x:f t="shared" si="8"/>
        <x:v>66400</x:v>
      </x:c>
      <x:c r="AL34" s="38">
        <x:f t="shared" si="9"/>
        <x:v>99700</x:v>
      </x:c>
      <x:c r="AM34" s="38">
        <x:f t="shared" si="10"/>
        <x:v>132900</x:v>
      </x:c>
      <x:c r="AN34" s="237">
        <x:f t="shared" si="11"/>
        <x:v>166200</x:v>
      </x:c>
      <x:c r="AO34" s="234" t="s">
        <x:v>60</x:v>
      </x:c>
      <x:c r="AP34" s="107">
        <x:v>20000</x:v>
      </x:c>
      <x:c r="AQ34" s="38">
        <x:f t="shared" si="28"/>
        <x:v>40800</x:v>
      </x:c>
      <x:c r="AR34" s="38">
        <x:f t="shared" si="29"/>
        <x:v>61200</x:v>
      </x:c>
      <x:c r="AS34" s="38">
        <x:f t="shared" si="30"/>
        <x:v>81600</x:v>
      </x:c>
      <x:c r="AT34" s="237">
        <x:f t="shared" si="31"/>
        <x:v>102000</x:v>
      </x:c>
      <x:c r="AU34" s="234" t="s">
        <x:v>60</x:v>
      </x:c>
      <x:c r="AV34" s="107">
        <x:v>20000</x:v>
      </x:c>
      <x:c r="AW34" s="38">
        <x:f t="shared" si="32"/>
        <x:v>40800</x:v>
      </x:c>
      <x:c r="AX34" s="38">
        <x:f t="shared" si="33"/>
        <x:v>61200</x:v>
      </x:c>
      <x:c r="AY34" s="38">
        <x:f t="shared" si="34"/>
        <x:v>81600</x:v>
      </x:c>
      <x:c r="AZ34" s="38">
        <x:f t="shared" si="35"/>
        <x:v>102000</x:v>
      </x:c>
      <x:c r="BA34" s="235" t="s">
        <x:v>60</x:v>
      </x:c>
      <x:c r="BB34" s="107" t="s">
        <x:v>60</x:v>
      </x:c>
      <x:c r="BC34" s="38">
        <x:f t="shared" si="12"/>
        <x:v>33200</x:v>
      </x:c>
      <x:c r="BD34" s="38">
        <x:f t="shared" si="13"/>
        <x:v>49800</x:v>
      </x:c>
      <x:c r="BE34" s="38">
        <x:f t="shared" si="14"/>
        <x:v>66400</x:v>
      </x:c>
      <x:c r="BF34" s="236">
        <x:f t="shared" si="15"/>
        <x:v>83100</x:v>
      </x:c>
      <x:c r="BG34" s="22"/>
    </x:row>
    <x:row r="35" spans="1:59">
      <x:c r="A35" s="22"/>
      <x:c r="B35" s="37" t="s">
        <x:v>59</x:v>
      </x:c>
      <x:c r="C35" s="229" t="s">
        <x:v>11</x:v>
      </x:c>
      <x:c r="D35" s="229"/>
      <x:c r="E35" s="230" t="s">
        <x:v>6</x:v>
      </x:c>
      <x:c r="F35" s="37">
        <x:v>71</x:v>
      </x:c>
      <x:c r="G35" s="229">
        <x:v>10</x:v>
      </x:c>
      <x:c r="H35" s="229"/>
      <x:c r="I35" s="229">
        <x:v>40</x:v>
      </x:c>
      <x:c r="J35" s="229">
        <x:f t="shared" si="0"/>
        <x:v>121</x:v>
      </x:c>
      <x:c r="K35" s="107">
        <x:f t="shared" si="16"/>
        <x:v>1230000</x:v>
      </x:c>
      <x:c r="L35" s="107">
        <x:f t="shared" ref="L35:L70" si="41">HLOOKUP(C35,$I$1:$T$2,2,FALSE)</x:f>
        <x:v>175000</x:v>
      </x:c>
      <x:c r="M35" s="107"/>
      <x:c r="N35" s="107">
        <x:f>HLOOKUP($N$10,$I$1:$T$2,2,FALSE)</x:f>
        <x:v>694000</x:v>
      </x:c>
      <x:c r="O35" s="231">
        <x:f t="shared" si="17"/>
        <x:v>2099000</x:v>
      </x:c>
      <x:c r="P35" s="37">
        <x:f t="shared" si="18"/>
        <x:v>121</x:v>
      </x:c>
      <x:c r="Q35" s="107">
        <x:f t="shared" si="19"/>
        <x:v>2099000</x:v>
      </x:c>
      <x:c r="R35" s="229">
        <x:f t="shared" si="26"/>
        <x:v>99</x:v>
      </x:c>
      <x:c r="S35" s="107">
        <x:f t="shared" si="20"/>
        <x:v>1720000</x:v>
      </x:c>
      <x:c r="T35" s="232">
        <x:f t="shared" si="1"/>
        <x:v>1049500</x:v>
      </x:c>
      <x:c r="U35" s="107">
        <x:f t="shared" si="2"/>
        <x:v>1049500</x:v>
      </x:c>
      <x:c r="V35" s="231">
        <x:f t="shared" si="3"/>
        <x:v>860000</x:v>
      </x:c>
      <x:c r="W35" s="37" t="s">
        <x:v>60</x:v>
      </x:c>
      <x:c r="X35" s="107">
        <x:v>20000</x:v>
      </x:c>
      <x:c r="Y35" s="38">
        <x:f t="shared" si="21"/>
        <x:v>83900</x:v>
      </x:c>
      <x:c r="Z35" s="38">
        <x:f t="shared" si="22"/>
        <x:v>125900</x:v>
      </x:c>
      <x:c r="AA35" s="38">
        <x:f t="shared" si="23"/>
        <x:v>167900</x:v>
      </x:c>
      <x:c r="AB35" s="38">
        <x:f t="shared" si="24"/>
        <x:v>209900</x:v>
      </x:c>
      <x:c r="AC35" s="233" t="s">
        <x:v>60</x:v>
      </x:c>
      <x:c r="AD35" s="107">
        <x:v>20000</x:v>
      </x:c>
      <x:c r="AE35" s="38">
        <x:f t="shared" si="4"/>
        <x:v>83900</x:v>
      </x:c>
      <x:c r="AF35" s="38">
        <x:f t="shared" si="5"/>
        <x:v>125900</x:v>
      </x:c>
      <x:c r="AG35" s="38">
        <x:f t="shared" si="6"/>
        <x:v>167900</x:v>
      </x:c>
      <x:c r="AH35" s="38">
        <x:f t="shared" si="7"/>
        <x:v>209900</x:v>
      </x:c>
      <x:c r="AI35" s="234" t="s">
        <x:v>60</x:v>
      </x:c>
      <x:c r="AJ35" s="229" t="s">
        <x:v>60</x:v>
      </x:c>
      <x:c r="AK35" s="38">
        <x:f t="shared" si="8"/>
        <x:v>68800</x:v>
      </x:c>
      <x:c r="AL35" s="38">
        <x:f t="shared" si="9"/>
        <x:v>103200</x:v>
      </x:c>
      <x:c r="AM35" s="38">
        <x:f t="shared" si="10"/>
        <x:v>137600</x:v>
      </x:c>
      <x:c r="AN35" s="237">
        <x:f t="shared" si="11"/>
        <x:v>172000</x:v>
      </x:c>
      <x:c r="AO35" s="234" t="s">
        <x:v>60</x:v>
      </x:c>
      <x:c r="AP35" s="107">
        <x:v>20000</x:v>
      </x:c>
      <x:c r="AQ35" s="38">
        <x:f t="shared" si="28"/>
        <x:v>41900</x:v>
      </x:c>
      <x:c r="AR35" s="38">
        <x:f t="shared" si="29"/>
        <x:v>62900</x:v>
      </x:c>
      <x:c r="AS35" s="38">
        <x:f t="shared" si="30"/>
        <x:v>83900</x:v>
      </x:c>
      <x:c r="AT35" s="237">
        <x:f t="shared" si="31"/>
        <x:v>104900</x:v>
      </x:c>
      <x:c r="AU35" s="234" t="s">
        <x:v>60</x:v>
      </x:c>
      <x:c r="AV35" s="107">
        <x:v>20000</x:v>
      </x:c>
      <x:c r="AW35" s="38">
        <x:f t="shared" si="32"/>
        <x:v>41900</x:v>
      </x:c>
      <x:c r="AX35" s="38">
        <x:f t="shared" si="33"/>
        <x:v>62900</x:v>
      </x:c>
      <x:c r="AY35" s="38">
        <x:f t="shared" si="34"/>
        <x:v>83900</x:v>
      </x:c>
      <x:c r="AZ35" s="38">
        <x:f t="shared" si="35"/>
        <x:v>104900</x:v>
      </x:c>
      <x:c r="BA35" s="235" t="s">
        <x:v>60</x:v>
      </x:c>
      <x:c r="BB35" s="107" t="s">
        <x:v>60</x:v>
      </x:c>
      <x:c r="BC35" s="38">
        <x:f t="shared" si="12"/>
        <x:v>34400</x:v>
      </x:c>
      <x:c r="BD35" s="38">
        <x:f t="shared" si="13"/>
        <x:v>51600</x:v>
      </x:c>
      <x:c r="BE35" s="38">
        <x:f t="shared" si="14"/>
        <x:v>68800</x:v>
      </x:c>
      <x:c r="BF35" s="236">
        <x:f t="shared" si="15"/>
        <x:v>86000</x:v>
      </x:c>
      <x:c r="BG35" s="22"/>
    </x:row>
    <x:row r="36" spans="1:59">
      <x:c r="A36" s="22"/>
      <x:c r="B36" s="37" t="s">
        <x:v>62</x:v>
      </x:c>
      <x:c r="C36" s="229" t="s">
        <x:v>50</x:v>
      </x:c>
      <x:c r="D36" s="229" t="s">
        <x:v>6</x:v>
      </x:c>
      <x:c r="E36" s="230"/>
      <x:c r="F36" s="37">
        <x:v>94</x:v>
      </x:c>
      <x:c r="G36" s="229">
        <x:v>20</x:v>
      </x:c>
      <x:c r="H36" s="229">
        <x:v>10</x:v>
      </x:c>
      <x:c r="I36" s="229"/>
      <x:c r="J36" s="229">
        <x:f t="shared" si="0"/>
        <x:v>124</x:v>
      </x:c>
      <x:c r="K36" s="107">
        <x:f t="shared" si="16"/>
        <x:v>1627000</x:v>
      </x:c>
      <x:c r="L36" s="107">
        <x:f t="shared" si="41"/>
        <x:v>349000</x:v>
      </x:c>
      <x:c r="M36" s="107">
        <x:f t="shared" ref="M36:M37" si="42">HLOOKUP($M$10,$I$1:$T$2,2,FALSE)</x:f>
        <x:v>175000</x:v>
      </x:c>
      <x:c r="N36" s="107"/>
      <x:c r="O36" s="231">
        <x:f t="shared" si="17"/>
        <x:v>2151000</x:v>
      </x:c>
      <x:c r="P36" s="37">
        <x:f t="shared" si="18"/>
        <x:v>124</x:v>
      </x:c>
      <x:c r="Q36" s="107">
        <x:f t="shared" si="19"/>
        <x:v>2151000</x:v>
      </x:c>
      <x:c r="R36" s="229">
        <x:f t="shared" si="26"/>
        <x:v>102</x:v>
      </x:c>
      <x:c r="S36" s="107">
        <x:f t="shared" si="20"/>
        <x:v>1772000</x:v>
      </x:c>
      <x:c r="T36" s="232">
        <x:f t="shared" si="1"/>
        <x:v>1075500</x:v>
      </x:c>
      <x:c r="U36" s="107">
        <x:f t="shared" si="2"/>
        <x:v>1075500</x:v>
      </x:c>
      <x:c r="V36" s="231">
        <x:f t="shared" si="3"/>
        <x:v>886000</x:v>
      </x:c>
      <x:c r="W36" s="37" t="s">
        <x:v>60</x:v>
      </x:c>
      <x:c r="X36" s="107">
        <x:v>20000</x:v>
      </x:c>
      <x:c r="Y36" s="38">
        <x:f t="shared" si="21"/>
        <x:v>86000</x:v>
      </x:c>
      <x:c r="Z36" s="38">
        <x:f t="shared" si="22"/>
        <x:v>129000</x:v>
      </x:c>
      <x:c r="AA36" s="38">
        <x:f t="shared" si="23"/>
        <x:v>172000</x:v>
      </x:c>
      <x:c r="AB36" s="38">
        <x:f t="shared" si="24"/>
        <x:v>215100</x:v>
      </x:c>
      <x:c r="AC36" s="233" t="s">
        <x:v>60</x:v>
      </x:c>
      <x:c r="AD36" s="107">
        <x:v>20000</x:v>
      </x:c>
      <x:c r="AE36" s="38">
        <x:f t="shared" si="4"/>
        <x:v>86000</x:v>
      </x:c>
      <x:c r="AF36" s="38">
        <x:f t="shared" si="5"/>
        <x:v>129000</x:v>
      </x:c>
      <x:c r="AG36" s="38">
        <x:f t="shared" si="6"/>
        <x:v>172000</x:v>
      </x:c>
      <x:c r="AH36" s="38">
        <x:f t="shared" si="7"/>
        <x:v>215100</x:v>
      </x:c>
      <x:c r="AI36" s="234" t="s">
        <x:v>60</x:v>
      </x:c>
      <x:c r="AJ36" s="229" t="s">
        <x:v>60</x:v>
      </x:c>
      <x:c r="AK36" s="38">
        <x:f t="shared" si="8"/>
        <x:v>70800</x:v>
      </x:c>
      <x:c r="AL36" s="38">
        <x:f t="shared" si="9"/>
        <x:v>106300</x:v>
      </x:c>
      <x:c r="AM36" s="38">
        <x:f t="shared" si="10"/>
        <x:v>141700</x:v>
      </x:c>
      <x:c r="AN36" s="237">
        <x:f t="shared" si="11"/>
        <x:v>177200</x:v>
      </x:c>
      <x:c r="AO36" s="234" t="s">
        <x:v>60</x:v>
      </x:c>
      <x:c r="AP36" s="107">
        <x:v>20000</x:v>
      </x:c>
      <x:c r="AQ36" s="38">
        <x:f t="shared" si="28"/>
        <x:v>43000</x:v>
      </x:c>
      <x:c r="AR36" s="38">
        <x:f t="shared" si="29"/>
        <x:v>64500</x:v>
      </x:c>
      <x:c r="AS36" s="38">
        <x:f t="shared" si="30"/>
        <x:v>86000</x:v>
      </x:c>
      <x:c r="AT36" s="237">
        <x:f t="shared" si="31"/>
        <x:v>107500</x:v>
      </x:c>
      <x:c r="AU36" s="234" t="s">
        <x:v>60</x:v>
      </x:c>
      <x:c r="AV36" s="107">
        <x:v>20000</x:v>
      </x:c>
      <x:c r="AW36" s="38">
        <x:f t="shared" si="32"/>
        <x:v>43000</x:v>
      </x:c>
      <x:c r="AX36" s="38">
        <x:f t="shared" si="33"/>
        <x:v>64500</x:v>
      </x:c>
      <x:c r="AY36" s="38">
        <x:f t="shared" si="34"/>
        <x:v>86000</x:v>
      </x:c>
      <x:c r="AZ36" s="38">
        <x:f t="shared" si="35"/>
        <x:v>107500</x:v>
      </x:c>
      <x:c r="BA36" s="235" t="s">
        <x:v>60</x:v>
      </x:c>
      <x:c r="BB36" s="107" t="s">
        <x:v>60</x:v>
      </x:c>
      <x:c r="BC36" s="38">
        <x:f t="shared" si="12"/>
        <x:v>35400</x:v>
      </x:c>
      <x:c r="BD36" s="38">
        <x:f t="shared" si="13"/>
        <x:v>53100</x:v>
      </x:c>
      <x:c r="BE36" s="38">
        <x:f t="shared" si="14"/>
        <x:v>70800</x:v>
      </x:c>
      <x:c r="BF36" s="236">
        <x:f t="shared" si="15"/>
        <x:v>88600</x:v>
      </x:c>
      <x:c r="BG36" s="22"/>
    </x:row>
    <x:row r="37" spans="1:59">
      <x:c r="A37" s="22"/>
      <x:c r="B37" s="37" t="s">
        <x:v>62</x:v>
      </x:c>
      <x:c r="C37" s="229" t="s">
        <x:v>52</x:v>
      </x:c>
      <x:c r="D37" s="229" t="s">
        <x:v>6</x:v>
      </x:c>
      <x:c r="E37" s="230"/>
      <x:c r="F37" s="37">
        <x:v>94</x:v>
      </x:c>
      <x:c r="G37" s="229">
        <x:v>20</x:v>
      </x:c>
      <x:c r="H37" s="229">
        <x:v>10</x:v>
      </x:c>
      <x:c r="I37" s="229"/>
      <x:c r="J37" s="229">
        <x:f t="shared" si="0"/>
        <x:v>124</x:v>
      </x:c>
      <x:c r="K37" s="107">
        <x:f t="shared" si="16"/>
        <x:v>1627000</x:v>
      </x:c>
      <x:c r="L37" s="107">
        <x:f t="shared" si="41"/>
        <x:v>349000</x:v>
      </x:c>
      <x:c r="M37" s="107">
        <x:f t="shared" si="42"/>
        <x:v>175000</x:v>
      </x:c>
      <x:c r="N37" s="107"/>
      <x:c r="O37" s="231">
        <x:f t="shared" si="17"/>
        <x:v>2151000</x:v>
      </x:c>
      <x:c r="P37" s="37">
        <x:f t="shared" si="18"/>
        <x:v>124</x:v>
      </x:c>
      <x:c r="Q37" s="107">
        <x:f t="shared" si="19"/>
        <x:v>2151000</x:v>
      </x:c>
      <x:c r="R37" s="229">
        <x:f t="shared" si="26"/>
        <x:v>102</x:v>
      </x:c>
      <x:c r="S37" s="107">
        <x:f t="shared" si="20"/>
        <x:v>1772000</x:v>
      </x:c>
      <x:c r="T37" s="232">
        <x:f t="shared" si="1"/>
        <x:v>1075500</x:v>
      </x:c>
      <x:c r="U37" s="107">
        <x:f t="shared" si="2"/>
        <x:v>1075500</x:v>
      </x:c>
      <x:c r="V37" s="231">
        <x:f t="shared" si="3"/>
        <x:v>886000</x:v>
      </x:c>
      <x:c r="W37" s="37" t="s">
        <x:v>60</x:v>
      </x:c>
      <x:c r="X37" s="107">
        <x:v>20000</x:v>
      </x:c>
      <x:c r="Y37" s="38">
        <x:f t="shared" si="21"/>
        <x:v>86000</x:v>
      </x:c>
      <x:c r="Z37" s="38">
        <x:f t="shared" si="22"/>
        <x:v>129000</x:v>
      </x:c>
      <x:c r="AA37" s="38">
        <x:f t="shared" si="23"/>
        <x:v>172000</x:v>
      </x:c>
      <x:c r="AB37" s="38">
        <x:f t="shared" si="24"/>
        <x:v>215100</x:v>
      </x:c>
      <x:c r="AC37" s="233" t="s">
        <x:v>60</x:v>
      </x:c>
      <x:c r="AD37" s="107">
        <x:v>20000</x:v>
      </x:c>
      <x:c r="AE37" s="38">
        <x:f t="shared" si="4"/>
        <x:v>86000</x:v>
      </x:c>
      <x:c r="AF37" s="38">
        <x:f t="shared" si="5"/>
        <x:v>129000</x:v>
      </x:c>
      <x:c r="AG37" s="38">
        <x:f t="shared" si="6"/>
        <x:v>172000</x:v>
      </x:c>
      <x:c r="AH37" s="38">
        <x:f t="shared" si="7"/>
        <x:v>215100</x:v>
      </x:c>
      <x:c r="AI37" s="234" t="s">
        <x:v>60</x:v>
      </x:c>
      <x:c r="AJ37" s="229" t="s">
        <x:v>60</x:v>
      </x:c>
      <x:c r="AK37" s="38">
        <x:f t="shared" si="8"/>
        <x:v>70800</x:v>
      </x:c>
      <x:c r="AL37" s="38">
        <x:f t="shared" si="9"/>
        <x:v>106300</x:v>
      </x:c>
      <x:c r="AM37" s="38">
        <x:f t="shared" si="10"/>
        <x:v>141700</x:v>
      </x:c>
      <x:c r="AN37" s="237">
        <x:f t="shared" si="11"/>
        <x:v>177200</x:v>
      </x:c>
      <x:c r="AO37" s="234" t="s">
        <x:v>60</x:v>
      </x:c>
      <x:c r="AP37" s="107">
        <x:v>20000</x:v>
      </x:c>
      <x:c r="AQ37" s="38">
        <x:f t="shared" si="28"/>
        <x:v>43000</x:v>
      </x:c>
      <x:c r="AR37" s="38">
        <x:f t="shared" si="29"/>
        <x:v>64500</x:v>
      </x:c>
      <x:c r="AS37" s="38">
        <x:f t="shared" si="30"/>
        <x:v>86000</x:v>
      </x:c>
      <x:c r="AT37" s="237">
        <x:f t="shared" si="31"/>
        <x:v>107500</x:v>
      </x:c>
      <x:c r="AU37" s="234" t="s">
        <x:v>60</x:v>
      </x:c>
      <x:c r="AV37" s="107">
        <x:v>20000</x:v>
      </x:c>
      <x:c r="AW37" s="38">
        <x:f t="shared" si="32"/>
        <x:v>43000</x:v>
      </x:c>
      <x:c r="AX37" s="38">
        <x:f t="shared" si="33"/>
        <x:v>64500</x:v>
      </x:c>
      <x:c r="AY37" s="38">
        <x:f t="shared" si="34"/>
        <x:v>86000</x:v>
      </x:c>
      <x:c r="AZ37" s="38">
        <x:f t="shared" si="35"/>
        <x:v>107500</x:v>
      </x:c>
      <x:c r="BA37" s="235" t="s">
        <x:v>60</x:v>
      </x:c>
      <x:c r="BB37" s="107" t="s">
        <x:v>60</x:v>
      </x:c>
      <x:c r="BC37" s="38">
        <x:f t="shared" si="12"/>
        <x:v>35400</x:v>
      </x:c>
      <x:c r="BD37" s="38">
        <x:f t="shared" si="13"/>
        <x:v>53100</x:v>
      </x:c>
      <x:c r="BE37" s="38">
        <x:f t="shared" si="14"/>
        <x:v>70800</x:v>
      </x:c>
      <x:c r="BF37" s="236">
        <x:f t="shared" si="15"/>
        <x:v>88600</x:v>
      </x:c>
      <x:c r="BG37" s="22"/>
    </x:row>
    <x:row r="38" spans="1:59">
      <x:c r="A38" s="22"/>
      <x:c r="B38" s="37" t="s">
        <x:v>64</x:v>
      </x:c>
      <x:c r="C38" s="229" t="s">
        <x:v>11</x:v>
      </x:c>
      <x:c r="D38" s="229"/>
      <x:c r="E38" s="230"/>
      <x:c r="F38" s="37">
        <x:v>118</x:v>
      </x:c>
      <x:c r="G38" s="229">
        <x:v>10</x:v>
      </x:c>
      <x:c r="H38" s="229"/>
      <x:c r="I38" s="229"/>
      <x:c r="J38" s="229">
        <x:f t="shared" si="0"/>
        <x:v>128</x:v>
      </x:c>
      <x:c r="K38" s="107">
        <x:f t="shared" si="16"/>
        <x:v>2041000</x:v>
      </x:c>
      <x:c r="L38" s="107">
        <x:f t="shared" si="41"/>
        <x:v>175000</x:v>
      </x:c>
      <x:c r="M38" s="107"/>
      <x:c r="N38" s="107"/>
      <x:c r="O38" s="231">
        <x:f t="shared" si="17"/>
        <x:v>2216000</x:v>
      </x:c>
      <x:c r="P38" s="37">
        <x:f t="shared" si="18"/>
        <x:v>128</x:v>
      </x:c>
      <x:c r="Q38" s="107">
        <x:f t="shared" si="19"/>
        <x:v>2216000</x:v>
      </x:c>
      <x:c r="R38" s="229">
        <x:f t="shared" si="26"/>
        <x:v>106</x:v>
      </x:c>
      <x:c r="S38" s="107">
        <x:f t="shared" si="20"/>
        <x:v>1837000</x:v>
      </x:c>
      <x:c r="T38" s="232">
        <x:f t="shared" si="1"/>
        <x:v>1108000</x:v>
      </x:c>
      <x:c r="U38" s="107">
        <x:f t="shared" si="2"/>
        <x:v>1108000</x:v>
      </x:c>
      <x:c r="V38" s="231">
        <x:f t="shared" si="3"/>
        <x:v>918500</x:v>
      </x:c>
      <x:c r="W38" s="37" t="s">
        <x:v>60</x:v>
      </x:c>
      <x:c r="X38" s="107">
        <x:v>20000</x:v>
      </x:c>
      <x:c r="Y38" s="38">
        <x:f t="shared" si="21"/>
        <x:v>88600</x:v>
      </x:c>
      <x:c r="Z38" s="38">
        <x:f t="shared" si="22"/>
        <x:v>132900</x:v>
      </x:c>
      <x:c r="AA38" s="38">
        <x:f t="shared" si="23"/>
        <x:v>177200</x:v>
      </x:c>
      <x:c r="AB38" s="38">
        <x:f t="shared" si="24"/>
        <x:v>216200</x:v>
      </x:c>
      <x:c r="AC38" s="233" t="s">
        <x:v>60</x:v>
      </x:c>
      <x:c r="AD38" s="107">
        <x:v>20000</x:v>
      </x:c>
      <x:c r="AE38" s="38">
        <x:f t="shared" si="4"/>
        <x:v>88600</x:v>
      </x:c>
      <x:c r="AF38" s="38">
        <x:f t="shared" si="5"/>
        <x:v>132900</x:v>
      </x:c>
      <x:c r="AG38" s="38">
        <x:f t="shared" si="6"/>
        <x:v>177200</x:v>
      </x:c>
      <x:c r="AH38" s="38">
        <x:f t="shared" si="7"/>
        <x:v>216200</x:v>
      </x:c>
      <x:c r="AI38" s="234" t="s">
        <x:v>60</x:v>
      </x:c>
      <x:c r="AJ38" s="229" t="s">
        <x:v>60</x:v>
      </x:c>
      <x:c r="AK38" s="38">
        <x:f t="shared" si="8"/>
        <x:v>73400</x:v>
      </x:c>
      <x:c r="AL38" s="38">
        <x:f t="shared" si="9"/>
        <x:v>110200</x:v>
      </x:c>
      <x:c r="AM38" s="38">
        <x:f t="shared" si="10"/>
        <x:v>146900</x:v>
      </x:c>
      <x:c r="AN38" s="237">
        <x:f t="shared" si="11"/>
        <x:v>183700</x:v>
      </x:c>
      <x:c r="AO38" s="234" t="s">
        <x:v>60</x:v>
      </x:c>
      <x:c r="AP38" s="107">
        <x:v>20000</x:v>
      </x:c>
      <x:c r="AQ38" s="38">
        <x:f t="shared" si="28"/>
        <x:v>44300</x:v>
      </x:c>
      <x:c r="AR38" s="38">
        <x:f t="shared" si="29"/>
        <x:v>66400</x:v>
      </x:c>
      <x:c r="AS38" s="38">
        <x:f t="shared" si="30"/>
        <x:v>88600</x:v>
      </x:c>
      <x:c r="AT38" s="237">
        <x:f t="shared" si="31"/>
        <x:v>110800</x:v>
      </x:c>
      <x:c r="AU38" s="234" t="s">
        <x:v>60</x:v>
      </x:c>
      <x:c r="AV38" s="107">
        <x:v>20000</x:v>
      </x:c>
      <x:c r="AW38" s="38">
        <x:f t="shared" si="32"/>
        <x:v>44300</x:v>
      </x:c>
      <x:c r="AX38" s="38">
        <x:f t="shared" si="33"/>
        <x:v>66400</x:v>
      </x:c>
      <x:c r="AY38" s="38">
        <x:f t="shared" si="34"/>
        <x:v>88600</x:v>
      </x:c>
      <x:c r="AZ38" s="38">
        <x:f t="shared" si="35"/>
        <x:v>110800</x:v>
      </x:c>
      <x:c r="BA38" s="235" t="s">
        <x:v>60</x:v>
      </x:c>
      <x:c r="BB38" s="107" t="s">
        <x:v>60</x:v>
      </x:c>
      <x:c r="BC38" s="38">
        <x:f t="shared" si="12"/>
        <x:v>36700</x:v>
      </x:c>
      <x:c r="BD38" s="38">
        <x:f t="shared" si="13"/>
        <x:v>55100</x:v>
      </x:c>
      <x:c r="BE38" s="38">
        <x:f t="shared" si="14"/>
        <x:v>73400</x:v>
      </x:c>
      <x:c r="BF38" s="236">
        <x:f t="shared" si="15"/>
        <x:v>91800</x:v>
      </x:c>
      <x:c r="BG38" s="22"/>
    </x:row>
    <x:row r="39" spans="1:59">
      <x:c r="A39" s="22"/>
      <x:c r="B39" s="37" t="s">
        <x:v>59</x:v>
      </x:c>
      <x:c r="C39" s="229" t="s">
        <x:v>50</x:v>
      </x:c>
      <x:c r="D39" s="229"/>
      <x:c r="E39" s="230" t="s">
        <x:v>6</x:v>
      </x:c>
      <x:c r="F39" s="37">
        <x:v>71</x:v>
      </x:c>
      <x:c r="G39" s="229">
        <x:v>20</x:v>
      </x:c>
      <x:c r="H39" s="229"/>
      <x:c r="I39" s="229">
        <x:v>40</x:v>
      </x:c>
      <x:c r="J39" s="229">
        <x:f t="shared" si="0"/>
        <x:v>131</x:v>
      </x:c>
      <x:c r="K39" s="107">
        <x:f t="shared" si="16"/>
        <x:v>1230000</x:v>
      </x:c>
      <x:c r="L39" s="107">
        <x:f t="shared" si="41"/>
        <x:v>349000</x:v>
      </x:c>
      <x:c r="M39" s="107"/>
      <x:c r="N39" s="107">
        <x:f t="shared" ref="N39:N40" si="43">HLOOKUP($N$10,$I$1:$T$2,2,FALSE)</x:f>
        <x:v>694000</x:v>
      </x:c>
      <x:c r="O39" s="231">
        <x:f t="shared" si="17"/>
        <x:v>2273000</x:v>
      </x:c>
      <x:c r="P39" s="37">
        <x:f t="shared" si="18"/>
        <x:v>131</x:v>
      </x:c>
      <x:c r="Q39" s="107">
        <x:f t="shared" si="19"/>
        <x:v>2273000</x:v>
      </x:c>
      <x:c r="R39" s="229">
        <x:f t="shared" si="26"/>
        <x:v>109</x:v>
      </x:c>
      <x:c r="S39" s="107">
        <x:f t="shared" si="20"/>
        <x:v>1894000</x:v>
      </x:c>
      <x:c r="T39" s="232">
        <x:f t="shared" si="1"/>
        <x:v>1136500</x:v>
      </x:c>
      <x:c r="U39" s="107">
        <x:f t="shared" si="2"/>
        <x:v>1136500</x:v>
      </x:c>
      <x:c r="V39" s="231">
        <x:f t="shared" si="3"/>
        <x:v>947000</x:v>
      </x:c>
      <x:c r="W39" s="37" t="s">
        <x:v>60</x:v>
      </x:c>
      <x:c r="X39" s="107">
        <x:v>20000</x:v>
      </x:c>
      <x:c r="Y39" s="38">
        <x:f t="shared" si="21"/>
        <x:v>90900</x:v>
      </x:c>
      <x:c r="Z39" s="38">
        <x:f t="shared" si="22"/>
        <x:v>136300</x:v>
      </x:c>
      <x:c r="AA39" s="38">
        <x:f t="shared" si="23"/>
        <x:v>181800</x:v>
      </x:c>
      <x:c r="AB39" s="38">
        <x:f t="shared" si="24"/>
        <x:v>216200</x:v>
      </x:c>
      <x:c r="AC39" s="233" t="s">
        <x:v>60</x:v>
      </x:c>
      <x:c r="AD39" s="107">
        <x:v>20000</x:v>
      </x:c>
      <x:c r="AE39" s="38">
        <x:f t="shared" si="4"/>
        <x:v>90900</x:v>
      </x:c>
      <x:c r="AF39" s="38">
        <x:f t="shared" si="5"/>
        <x:v>136300</x:v>
      </x:c>
      <x:c r="AG39" s="38">
        <x:f t="shared" si="6"/>
        <x:v>181800</x:v>
      </x:c>
      <x:c r="AH39" s="38">
        <x:f t="shared" si="7"/>
        <x:v>216200</x:v>
      </x:c>
      <x:c r="AI39" s="234" t="s">
        <x:v>60</x:v>
      </x:c>
      <x:c r="AJ39" s="229" t="s">
        <x:v>60</x:v>
      </x:c>
      <x:c r="AK39" s="38">
        <x:f t="shared" si="8"/>
        <x:v>75700</x:v>
      </x:c>
      <x:c r="AL39" s="38">
        <x:f t="shared" si="9"/>
        <x:v>113600</x:v>
      </x:c>
      <x:c r="AM39" s="38">
        <x:f t="shared" si="10"/>
        <x:v>151500</x:v>
      </x:c>
      <x:c r="AN39" s="237">
        <x:f t="shared" si="11"/>
        <x:v>189400</x:v>
      </x:c>
      <x:c r="AO39" s="234" t="s">
        <x:v>60</x:v>
      </x:c>
      <x:c r="AP39" s="107">
        <x:v>20000</x:v>
      </x:c>
      <x:c r="AQ39" s="38">
        <x:f t="shared" si="28"/>
        <x:v>45400</x:v>
      </x:c>
      <x:c r="AR39" s="38">
        <x:f t="shared" si="29"/>
        <x:v>68100</x:v>
      </x:c>
      <x:c r="AS39" s="38">
        <x:f t="shared" si="30"/>
        <x:v>90900</x:v>
      </x:c>
      <x:c r="AT39" s="237">
        <x:f t="shared" si="31"/>
        <x:v>113600</x:v>
      </x:c>
      <x:c r="AU39" s="234" t="s">
        <x:v>60</x:v>
      </x:c>
      <x:c r="AV39" s="107">
        <x:v>20000</x:v>
      </x:c>
      <x:c r="AW39" s="38">
        <x:f t="shared" si="32"/>
        <x:v>45400</x:v>
      </x:c>
      <x:c r="AX39" s="38">
        <x:f t="shared" si="33"/>
        <x:v>68100</x:v>
      </x:c>
      <x:c r="AY39" s="38">
        <x:f t="shared" si="34"/>
        <x:v>90900</x:v>
      </x:c>
      <x:c r="AZ39" s="38">
        <x:f t="shared" si="35"/>
        <x:v>113600</x:v>
      </x:c>
      <x:c r="BA39" s="235" t="s">
        <x:v>60</x:v>
      </x:c>
      <x:c r="BB39" s="107" t="s">
        <x:v>60</x:v>
      </x:c>
      <x:c r="BC39" s="38">
        <x:f t="shared" si="12"/>
        <x:v>37800</x:v>
      </x:c>
      <x:c r="BD39" s="38">
        <x:f t="shared" si="13"/>
        <x:v>56800</x:v>
      </x:c>
      <x:c r="BE39" s="38">
        <x:f t="shared" si="14"/>
        <x:v>75700</x:v>
      </x:c>
      <x:c r="BF39" s="236">
        <x:f t="shared" si="15"/>
        <x:v>94700</x:v>
      </x:c>
      <x:c r="BG39" s="22"/>
    </x:row>
    <x:row r="40" spans="1:59">
      <x:c r="A40" s="22"/>
      <x:c r="B40" s="37" t="s">
        <x:v>59</x:v>
      </x:c>
      <x:c r="C40" s="229" t="s">
        <x:v>52</x:v>
      </x:c>
      <x:c r="D40" s="229"/>
      <x:c r="E40" s="230" t="s">
        <x:v>6</x:v>
      </x:c>
      <x:c r="F40" s="37">
        <x:v>71</x:v>
      </x:c>
      <x:c r="G40" s="229">
        <x:v>20</x:v>
      </x:c>
      <x:c r="H40" s="229"/>
      <x:c r="I40" s="229">
        <x:v>40</x:v>
      </x:c>
      <x:c r="J40" s="229">
        <x:f t="shared" si="0"/>
        <x:v>131</x:v>
      </x:c>
      <x:c r="K40" s="107">
        <x:f t="shared" si="16"/>
        <x:v>1230000</x:v>
      </x:c>
      <x:c r="L40" s="107">
        <x:f t="shared" si="41"/>
        <x:v>349000</x:v>
      </x:c>
      <x:c r="M40" s="107"/>
      <x:c r="N40" s="107">
        <x:f t="shared" si="43"/>
        <x:v>694000</x:v>
      </x:c>
      <x:c r="O40" s="231">
        <x:f t="shared" si="17"/>
        <x:v>2273000</x:v>
      </x:c>
      <x:c r="P40" s="37">
        <x:f t="shared" si="18"/>
        <x:v>131</x:v>
      </x:c>
      <x:c r="Q40" s="107">
        <x:f t="shared" si="19"/>
        <x:v>2273000</x:v>
      </x:c>
      <x:c r="R40" s="229">
        <x:f t="shared" si="26"/>
        <x:v>109</x:v>
      </x:c>
      <x:c r="S40" s="107">
        <x:f t="shared" si="20"/>
        <x:v>1894000</x:v>
      </x:c>
      <x:c r="T40" s="232">
        <x:f t="shared" si="1"/>
        <x:v>1136500</x:v>
      </x:c>
      <x:c r="U40" s="107">
        <x:f t="shared" si="2"/>
        <x:v>1136500</x:v>
      </x:c>
      <x:c r="V40" s="231">
        <x:f t="shared" si="3"/>
        <x:v>947000</x:v>
      </x:c>
      <x:c r="W40" s="37" t="s">
        <x:v>60</x:v>
      </x:c>
      <x:c r="X40" s="107">
        <x:v>20000</x:v>
      </x:c>
      <x:c r="Y40" s="38">
        <x:f t="shared" si="21"/>
        <x:v>90900</x:v>
      </x:c>
      <x:c r="Z40" s="38">
        <x:f t="shared" si="22"/>
        <x:v>136300</x:v>
      </x:c>
      <x:c r="AA40" s="38">
        <x:f t="shared" si="23"/>
        <x:v>181800</x:v>
      </x:c>
      <x:c r="AB40" s="38">
        <x:f t="shared" si="24"/>
        <x:v>216200</x:v>
      </x:c>
      <x:c r="AC40" s="233" t="s">
        <x:v>60</x:v>
      </x:c>
      <x:c r="AD40" s="107">
        <x:v>20000</x:v>
      </x:c>
      <x:c r="AE40" s="38">
        <x:f t="shared" si="4"/>
        <x:v>90900</x:v>
      </x:c>
      <x:c r="AF40" s="38">
        <x:f t="shared" si="5"/>
        <x:v>136300</x:v>
      </x:c>
      <x:c r="AG40" s="38">
        <x:f t="shared" si="6"/>
        <x:v>181800</x:v>
      </x:c>
      <x:c r="AH40" s="38">
        <x:f t="shared" si="7"/>
        <x:v>216200</x:v>
      </x:c>
      <x:c r="AI40" s="234" t="s">
        <x:v>60</x:v>
      </x:c>
      <x:c r="AJ40" s="229" t="s">
        <x:v>60</x:v>
      </x:c>
      <x:c r="AK40" s="38">
        <x:f t="shared" si="8"/>
        <x:v>75700</x:v>
      </x:c>
      <x:c r="AL40" s="38">
        <x:f t="shared" si="9"/>
        <x:v>113600</x:v>
      </x:c>
      <x:c r="AM40" s="38">
        <x:f t="shared" si="10"/>
        <x:v>151500</x:v>
      </x:c>
      <x:c r="AN40" s="237">
        <x:f t="shared" si="11"/>
        <x:v>189400</x:v>
      </x:c>
      <x:c r="AO40" s="234" t="s">
        <x:v>60</x:v>
      </x:c>
      <x:c r="AP40" s="107">
        <x:v>20000</x:v>
      </x:c>
      <x:c r="AQ40" s="38">
        <x:f t="shared" si="28"/>
        <x:v>45400</x:v>
      </x:c>
      <x:c r="AR40" s="38">
        <x:f t="shared" si="29"/>
        <x:v>68100</x:v>
      </x:c>
      <x:c r="AS40" s="38">
        <x:f t="shared" si="30"/>
        <x:v>90900</x:v>
      </x:c>
      <x:c r="AT40" s="237">
        <x:f t="shared" si="31"/>
        <x:v>113600</x:v>
      </x:c>
      <x:c r="AU40" s="234" t="s">
        <x:v>60</x:v>
      </x:c>
      <x:c r="AV40" s="107">
        <x:v>20000</x:v>
      </x:c>
      <x:c r="AW40" s="38">
        <x:f t="shared" si="32"/>
        <x:v>45400</x:v>
      </x:c>
      <x:c r="AX40" s="38">
        <x:f t="shared" si="33"/>
        <x:v>68100</x:v>
      </x:c>
      <x:c r="AY40" s="38">
        <x:f t="shared" si="34"/>
        <x:v>90900</x:v>
      </x:c>
      <x:c r="AZ40" s="38">
        <x:f t="shared" si="35"/>
        <x:v>113600</x:v>
      </x:c>
      <x:c r="BA40" s="235" t="s">
        <x:v>60</x:v>
      </x:c>
      <x:c r="BB40" s="107" t="s">
        <x:v>60</x:v>
      </x:c>
      <x:c r="BC40" s="38">
        <x:f t="shared" si="12"/>
        <x:v>37800</x:v>
      </x:c>
      <x:c r="BD40" s="38">
        <x:f t="shared" si="13"/>
        <x:v>56800</x:v>
      </x:c>
      <x:c r="BE40" s="38">
        <x:f t="shared" si="14"/>
        <x:v>75700</x:v>
      </x:c>
      <x:c r="BF40" s="236">
        <x:f t="shared" si="15"/>
        <x:v>94700</x:v>
      </x:c>
      <x:c r="BG40" s="22"/>
    </x:row>
    <x:row r="41" spans="1:59">
      <x:c r="A41" s="22"/>
      <x:c r="B41" s="37" t="s">
        <x:v>62</x:v>
      </x:c>
      <x:c r="C41" s="229" t="s">
        <x:v>99</x:v>
      </x:c>
      <x:c r="D41" s="229"/>
      <x:c r="E41" s="230"/>
      <x:c r="F41" s="37">
        <x:v>94</x:v>
      </x:c>
      <x:c r="G41" s="229">
        <x:v>40</x:v>
      </x:c>
      <x:c r="H41" s="229"/>
      <x:c r="I41" s="229"/>
      <x:c r="J41" s="229">
        <x:f t="shared" si="0"/>
        <x:v>134</x:v>
      </x:c>
      <x:c r="K41" s="107">
        <x:f t="shared" si="16"/>
        <x:v>1627000</x:v>
      </x:c>
      <x:c r="L41" s="107">
        <x:f t="shared" si="41"/>
        <x:v>694000</x:v>
      </x:c>
      <x:c r="M41" s="107"/>
      <x:c r="N41" s="107"/>
      <x:c r="O41" s="231">
        <x:f t="shared" si="17"/>
        <x:v>2321000</x:v>
      </x:c>
      <x:c r="P41" s="37">
        <x:f t="shared" si="18"/>
        <x:v>134</x:v>
      </x:c>
      <x:c r="Q41" s="107">
        <x:f t="shared" si="19"/>
        <x:v>2321000</x:v>
      </x:c>
      <x:c r="R41" s="229">
        <x:f t="shared" si="26"/>
        <x:v>112</x:v>
      </x:c>
      <x:c r="S41" s="107">
        <x:f t="shared" si="20"/>
        <x:v>1942000</x:v>
      </x:c>
      <x:c r="T41" s="232">
        <x:f t="shared" si="1"/>
        <x:v>1160500</x:v>
      </x:c>
      <x:c r="U41" s="107">
        <x:f t="shared" si="2"/>
        <x:v>1160500</x:v>
      </x:c>
      <x:c r="V41" s="231">
        <x:f t="shared" si="3"/>
        <x:v>971000</x:v>
      </x:c>
      <x:c r="W41" s="37" t="s">
        <x:v>60</x:v>
      </x:c>
      <x:c r="X41" s="107">
        <x:v>20000</x:v>
      </x:c>
      <x:c r="Y41" s="38">
        <x:f t="shared" si="21"/>
        <x:v>92800</x:v>
      </x:c>
      <x:c r="Z41" s="38">
        <x:f t="shared" si="22"/>
        <x:v>139200</x:v>
      </x:c>
      <x:c r="AA41" s="38">
        <x:f t="shared" si="23"/>
        <x:v>185600</x:v>
      </x:c>
      <x:c r="AB41" s="38">
        <x:f t="shared" si="24"/>
        <x:v>216200</x:v>
      </x:c>
      <x:c r="AC41" s="233" t="s">
        <x:v>60</x:v>
      </x:c>
      <x:c r="AD41" s="107">
        <x:v>20000</x:v>
      </x:c>
      <x:c r="AE41" s="38">
        <x:f t="shared" si="4"/>
        <x:v>92800</x:v>
      </x:c>
      <x:c r="AF41" s="38">
        <x:f t="shared" si="5"/>
        <x:v>139200</x:v>
      </x:c>
      <x:c r="AG41" s="38">
        <x:f t="shared" si="6"/>
        <x:v>185600</x:v>
      </x:c>
      <x:c r="AH41" s="38">
        <x:f t="shared" si="7"/>
        <x:v>216200</x:v>
      </x:c>
      <x:c r="AI41" s="234" t="s">
        <x:v>60</x:v>
      </x:c>
      <x:c r="AJ41" s="229" t="s">
        <x:v>60</x:v>
      </x:c>
      <x:c r="AK41" s="38">
        <x:f t="shared" si="8"/>
        <x:v>77600</x:v>
      </x:c>
      <x:c r="AL41" s="38">
        <x:f t="shared" si="9"/>
        <x:v>116500</x:v>
      </x:c>
      <x:c r="AM41" s="38">
        <x:f t="shared" si="10"/>
        <x:v>155300</x:v>
      </x:c>
      <x:c r="AN41" s="237">
        <x:f t="shared" si="11"/>
        <x:v>194200</x:v>
      </x:c>
      <x:c r="AO41" s="234" t="s">
        <x:v>60</x:v>
      </x:c>
      <x:c r="AP41" s="107">
        <x:v>20000</x:v>
      </x:c>
      <x:c r="AQ41" s="38">
        <x:f t="shared" si="28"/>
        <x:v>46400</x:v>
      </x:c>
      <x:c r="AR41" s="38">
        <x:f t="shared" si="29"/>
        <x:v>69600</x:v>
      </x:c>
      <x:c r="AS41" s="38">
        <x:f t="shared" si="30"/>
        <x:v>92800</x:v>
      </x:c>
      <x:c r="AT41" s="237">
        <x:f t="shared" si="31"/>
        <x:v>116000</x:v>
      </x:c>
      <x:c r="AU41" s="234" t="s">
        <x:v>60</x:v>
      </x:c>
      <x:c r="AV41" s="107">
        <x:v>20000</x:v>
      </x:c>
      <x:c r="AW41" s="38">
        <x:f t="shared" si="32"/>
        <x:v>46400</x:v>
      </x:c>
      <x:c r="AX41" s="38">
        <x:f t="shared" si="33"/>
        <x:v>69600</x:v>
      </x:c>
      <x:c r="AY41" s="38">
        <x:f t="shared" si="34"/>
        <x:v>92800</x:v>
      </x:c>
      <x:c r="AZ41" s="38">
        <x:f t="shared" si="35"/>
        <x:v>116000</x:v>
      </x:c>
      <x:c r="BA41" s="235" t="s">
        <x:v>60</x:v>
      </x:c>
      <x:c r="BB41" s="107" t="s">
        <x:v>60</x:v>
      </x:c>
      <x:c r="BC41" s="38">
        <x:f t="shared" si="12"/>
        <x:v>38800</x:v>
      </x:c>
      <x:c r="BD41" s="38">
        <x:f t="shared" si="13"/>
        <x:v>58200</x:v>
      </x:c>
      <x:c r="BE41" s="38">
        <x:f t="shared" si="14"/>
        <x:v>77600</x:v>
      </x:c>
      <x:c r="BF41" s="236">
        <x:f t="shared" si="15"/>
        <x:v>97100</x:v>
      </x:c>
      <x:c r="BG41" s="22"/>
    </x:row>
    <x:row r="42" spans="1:59">
      <x:c r="A42" s="22"/>
      <x:c r="B42" s="37" t="s">
        <x:v>59</x:v>
      </x:c>
      <x:c r="C42" s="229" t="s">
        <x:v>50</x:v>
      </x:c>
      <x:c r="D42" s="229" t="s">
        <x:v>6</x:v>
      </x:c>
      <x:c r="E42" s="230" t="s">
        <x:v>6</x:v>
      </x:c>
      <x:c r="F42" s="37">
        <x:v>71</x:v>
      </x:c>
      <x:c r="G42" s="229">
        <x:v>20</x:v>
      </x:c>
      <x:c r="H42" s="229">
        <x:v>10</x:v>
      </x:c>
      <x:c r="I42" s="229">
        <x:v>40</x:v>
      </x:c>
      <x:c r="J42" s="229">
        <x:f t="shared" si="0"/>
        <x:v>141</x:v>
      </x:c>
      <x:c r="K42" s="107">
        <x:f t="shared" si="16"/>
        <x:v>1230000</x:v>
      </x:c>
      <x:c r="L42" s="107">
        <x:f t="shared" si="41"/>
        <x:v>349000</x:v>
      </x:c>
      <x:c r="M42" s="107">
        <x:f t="shared" ref="M42:M43" si="44">HLOOKUP($M$10,$I$1:$T$2,2,FALSE)</x:f>
        <x:v>175000</x:v>
      </x:c>
      <x:c r="N42" s="107">
        <x:f t="shared" ref="N42:N46" si="45">HLOOKUP($N$10,$I$1:$T$2,2,FALSE)</x:f>
        <x:v>694000</x:v>
      </x:c>
      <x:c r="O42" s="231">
        <x:f t="shared" si="17"/>
        <x:v>2448000</x:v>
      </x:c>
      <x:c r="P42" s="37">
        <x:f t="shared" si="18"/>
        <x:v>141</x:v>
      </x:c>
      <x:c r="Q42" s="107">
        <x:f t="shared" si="19"/>
        <x:v>2448000</x:v>
      </x:c>
      <x:c r="R42" s="229">
        <x:f t="shared" si="26"/>
        <x:v>119</x:v>
      </x:c>
      <x:c r="S42" s="107">
        <x:f t="shared" si="20"/>
        <x:v>2069000</x:v>
      </x:c>
      <x:c r="T42" s="232">
        <x:f t="shared" si="1"/>
        <x:v>1224000</x:v>
      </x:c>
      <x:c r="U42" s="107">
        <x:f t="shared" si="2"/>
        <x:v>1224000</x:v>
      </x:c>
      <x:c r="V42" s="231">
        <x:f t="shared" si="3"/>
        <x:v>1034500</x:v>
      </x:c>
      <x:c r="W42" s="37" t="s">
        <x:v>60</x:v>
      </x:c>
      <x:c r="X42" s="107">
        <x:v>20000</x:v>
      </x:c>
      <x:c r="Y42" s="38">
        <x:f t="shared" si="21"/>
        <x:v>97900</x:v>
      </x:c>
      <x:c r="Z42" s="38">
        <x:f t="shared" si="22"/>
        <x:v>146800</x:v>
      </x:c>
      <x:c r="AA42" s="38">
        <x:f t="shared" si="23"/>
        <x:v>195800</x:v>
      </x:c>
      <x:c r="AB42" s="38">
        <x:f t="shared" si="24"/>
        <x:v>216200</x:v>
      </x:c>
      <x:c r="AC42" s="233" t="s">
        <x:v>60</x:v>
      </x:c>
      <x:c r="AD42" s="107">
        <x:v>20000</x:v>
      </x:c>
      <x:c r="AE42" s="38">
        <x:f t="shared" si="4"/>
        <x:v>97900</x:v>
      </x:c>
      <x:c r="AF42" s="38">
        <x:f t="shared" si="5"/>
        <x:v>146800</x:v>
      </x:c>
      <x:c r="AG42" s="38">
        <x:f t="shared" si="6"/>
        <x:v>195800</x:v>
      </x:c>
      <x:c r="AH42" s="38">
        <x:f t="shared" si="7"/>
        <x:v>216200</x:v>
      </x:c>
      <x:c r="AI42" s="234" t="s">
        <x:v>60</x:v>
      </x:c>
      <x:c r="AJ42" s="229" t="s">
        <x:v>60</x:v>
      </x:c>
      <x:c r="AK42" s="38">
        <x:f t="shared" si="8"/>
        <x:v>82700</x:v>
      </x:c>
      <x:c r="AL42" s="38">
        <x:f t="shared" si="9"/>
        <x:v>124100</x:v>
      </x:c>
      <x:c r="AM42" s="38">
        <x:f t="shared" si="10"/>
        <x:v>165500</x:v>
      </x:c>
      <x:c r="AN42" s="237">
        <x:f t="shared" si="11"/>
        <x:v>206900</x:v>
      </x:c>
      <x:c r="AO42" s="234" t="s">
        <x:v>60</x:v>
      </x:c>
      <x:c r="AP42" s="107">
        <x:v>20000</x:v>
      </x:c>
      <x:c r="AQ42" s="38">
        <x:f t="shared" si="28"/>
        <x:v>48900</x:v>
      </x:c>
      <x:c r="AR42" s="38">
        <x:f t="shared" si="29"/>
        <x:v>73400</x:v>
      </x:c>
      <x:c r="AS42" s="38">
        <x:f t="shared" si="30"/>
        <x:v>97900</x:v>
      </x:c>
      <x:c r="AT42" s="237">
        <x:f t="shared" si="31"/>
        <x:v>122400</x:v>
      </x:c>
      <x:c r="AU42" s="234" t="s">
        <x:v>60</x:v>
      </x:c>
      <x:c r="AV42" s="107">
        <x:v>20000</x:v>
      </x:c>
      <x:c r="AW42" s="38">
        <x:f t="shared" si="32"/>
        <x:v>48900</x:v>
      </x:c>
      <x:c r="AX42" s="38">
        <x:f t="shared" si="33"/>
        <x:v>73400</x:v>
      </x:c>
      <x:c r="AY42" s="38">
        <x:f t="shared" si="34"/>
        <x:v>97900</x:v>
      </x:c>
      <x:c r="AZ42" s="38">
        <x:f t="shared" si="35"/>
        <x:v>122400</x:v>
      </x:c>
      <x:c r="BA42" s="235" t="s">
        <x:v>60</x:v>
      </x:c>
      <x:c r="BB42" s="107" t="s">
        <x:v>60</x:v>
      </x:c>
      <x:c r="BC42" s="38">
        <x:f t="shared" si="12"/>
        <x:v>41300</x:v>
      </x:c>
      <x:c r="BD42" s="38">
        <x:f t="shared" si="13"/>
        <x:v>62000</x:v>
      </x:c>
      <x:c r="BE42" s="38">
        <x:f t="shared" si="14"/>
        <x:v>82700</x:v>
      </x:c>
      <x:c r="BF42" s="236">
        <x:f t="shared" si="15"/>
        <x:v>103400</x:v>
      </x:c>
      <x:c r="BG42" s="22"/>
    </x:row>
    <x:row r="43" spans="1:59">
      <x:c r="A43" s="22"/>
      <x:c r="B43" s="37" t="s">
        <x:v>59</x:v>
      </x:c>
      <x:c r="C43" s="229" t="s">
        <x:v>52</x:v>
      </x:c>
      <x:c r="D43" s="229" t="s">
        <x:v>6</x:v>
      </x:c>
      <x:c r="E43" s="230" t="s">
        <x:v>6</x:v>
      </x:c>
      <x:c r="F43" s="37">
        <x:v>71</x:v>
      </x:c>
      <x:c r="G43" s="229">
        <x:v>20</x:v>
      </x:c>
      <x:c r="H43" s="229">
        <x:v>10</x:v>
      </x:c>
      <x:c r="I43" s="229">
        <x:v>40</x:v>
      </x:c>
      <x:c r="J43" s="229">
        <x:f t="shared" si="0"/>
        <x:v>141</x:v>
      </x:c>
      <x:c r="K43" s="107">
        <x:f t="shared" si="16"/>
        <x:v>1230000</x:v>
      </x:c>
      <x:c r="L43" s="107">
        <x:f t="shared" si="41"/>
        <x:v>349000</x:v>
      </x:c>
      <x:c r="M43" s="107">
        <x:f t="shared" si="44"/>
        <x:v>175000</x:v>
      </x:c>
      <x:c r="N43" s="107">
        <x:f t="shared" si="45"/>
        <x:v>694000</x:v>
      </x:c>
      <x:c r="O43" s="231">
        <x:f t="shared" si="17"/>
        <x:v>2448000</x:v>
      </x:c>
      <x:c r="P43" s="37">
        <x:f t="shared" si="18"/>
        <x:v>141</x:v>
      </x:c>
      <x:c r="Q43" s="107">
        <x:f t="shared" si="19"/>
        <x:v>2448000</x:v>
      </x:c>
      <x:c r="R43" s="229">
        <x:f t="shared" si="26"/>
        <x:v>119</x:v>
      </x:c>
      <x:c r="S43" s="107">
        <x:f t="shared" si="20"/>
        <x:v>2069000</x:v>
      </x:c>
      <x:c r="T43" s="232">
        <x:f t="shared" si="1"/>
        <x:v>1224000</x:v>
      </x:c>
      <x:c r="U43" s="107">
        <x:f t="shared" si="2"/>
        <x:v>1224000</x:v>
      </x:c>
      <x:c r="V43" s="231">
        <x:f t="shared" si="3"/>
        <x:v>1034500</x:v>
      </x:c>
      <x:c r="W43" s="37" t="s">
        <x:v>60</x:v>
      </x:c>
      <x:c r="X43" s="107">
        <x:v>20000</x:v>
      </x:c>
      <x:c r="Y43" s="38">
        <x:f t="shared" si="21"/>
        <x:v>97900</x:v>
      </x:c>
      <x:c r="Z43" s="38">
        <x:f t="shared" si="22"/>
        <x:v>146800</x:v>
      </x:c>
      <x:c r="AA43" s="38">
        <x:f t="shared" si="23"/>
        <x:v>195800</x:v>
      </x:c>
      <x:c r="AB43" s="38">
        <x:f t="shared" si="24"/>
        <x:v>216200</x:v>
      </x:c>
      <x:c r="AC43" s="233" t="s">
        <x:v>60</x:v>
      </x:c>
      <x:c r="AD43" s="107">
        <x:v>20000</x:v>
      </x:c>
      <x:c r="AE43" s="38">
        <x:f t="shared" si="4"/>
        <x:v>97900</x:v>
      </x:c>
      <x:c r="AF43" s="38">
        <x:f t="shared" si="5"/>
        <x:v>146800</x:v>
      </x:c>
      <x:c r="AG43" s="38">
        <x:f t="shared" si="6"/>
        <x:v>195800</x:v>
      </x:c>
      <x:c r="AH43" s="38">
        <x:f t="shared" si="7"/>
        <x:v>216200</x:v>
      </x:c>
      <x:c r="AI43" s="234" t="s">
        <x:v>60</x:v>
      </x:c>
      <x:c r="AJ43" s="229" t="s">
        <x:v>60</x:v>
      </x:c>
      <x:c r="AK43" s="38">
        <x:f t="shared" si="8"/>
        <x:v>82700</x:v>
      </x:c>
      <x:c r="AL43" s="38">
        <x:f t="shared" si="9"/>
        <x:v>124100</x:v>
      </x:c>
      <x:c r="AM43" s="38">
        <x:f t="shared" si="10"/>
        <x:v>165500</x:v>
      </x:c>
      <x:c r="AN43" s="237">
        <x:f t="shared" si="11"/>
        <x:v>206900</x:v>
      </x:c>
      <x:c r="AO43" s="234" t="s">
        <x:v>60</x:v>
      </x:c>
      <x:c r="AP43" s="107">
        <x:v>20000</x:v>
      </x:c>
      <x:c r="AQ43" s="38">
        <x:f t="shared" si="28"/>
        <x:v>48900</x:v>
      </x:c>
      <x:c r="AR43" s="38">
        <x:f t="shared" si="29"/>
        <x:v>73400</x:v>
      </x:c>
      <x:c r="AS43" s="38">
        <x:f t="shared" si="30"/>
        <x:v>97900</x:v>
      </x:c>
      <x:c r="AT43" s="237">
        <x:f t="shared" si="31"/>
        <x:v>122400</x:v>
      </x:c>
      <x:c r="AU43" s="234" t="s">
        <x:v>60</x:v>
      </x:c>
      <x:c r="AV43" s="107">
        <x:v>20000</x:v>
      </x:c>
      <x:c r="AW43" s="38">
        <x:f t="shared" si="32"/>
        <x:v>48900</x:v>
      </x:c>
      <x:c r="AX43" s="38">
        <x:f t="shared" si="33"/>
        <x:v>73400</x:v>
      </x:c>
      <x:c r="AY43" s="38">
        <x:f t="shared" si="34"/>
        <x:v>97900</x:v>
      </x:c>
      <x:c r="AZ43" s="38">
        <x:f t="shared" si="35"/>
        <x:v>122400</x:v>
      </x:c>
      <x:c r="BA43" s="235" t="s">
        <x:v>60</x:v>
      </x:c>
      <x:c r="BB43" s="107" t="s">
        <x:v>60</x:v>
      </x:c>
      <x:c r="BC43" s="38">
        <x:f t="shared" si="12"/>
        <x:v>41300</x:v>
      </x:c>
      <x:c r="BD43" s="38">
        <x:f t="shared" si="13"/>
        <x:v>62000</x:v>
      </x:c>
      <x:c r="BE43" s="38">
        <x:f t="shared" si="14"/>
        <x:v>82700</x:v>
      </x:c>
      <x:c r="BF43" s="236">
        <x:f t="shared" si="15"/>
        <x:v>103400</x:v>
      </x:c>
      <x:c r="BG43" s="22"/>
    </x:row>
    <x:row r="44" spans="1:59">
      <x:c r="A44" s="22"/>
      <x:c r="B44" s="37" t="s">
        <x:v>62</x:v>
      </x:c>
      <x:c r="C44" s="229" t="s">
        <x:v>11</x:v>
      </x:c>
      <x:c r="D44" s="229"/>
      <x:c r="E44" s="230" t="s">
        <x:v>6</x:v>
      </x:c>
      <x:c r="F44" s="37">
        <x:v>94</x:v>
      </x:c>
      <x:c r="G44" s="229">
        <x:v>10</x:v>
      </x:c>
      <x:c r="H44" s="229"/>
      <x:c r="I44" s="229">
        <x:v>40</x:v>
      </x:c>
      <x:c r="J44" s="229">
        <x:f t="shared" si="0"/>
        <x:v>144</x:v>
      </x:c>
      <x:c r="K44" s="107">
        <x:f t="shared" si="16"/>
        <x:v>1627000</x:v>
      </x:c>
      <x:c r="L44" s="107">
        <x:f t="shared" si="41"/>
        <x:v>175000</x:v>
      </x:c>
      <x:c r="M44" s="107"/>
      <x:c r="N44" s="107">
        <x:f t="shared" si="45"/>
        <x:v>694000</x:v>
      </x:c>
      <x:c r="O44" s="231">
        <x:f t="shared" si="17"/>
        <x:v>2496000</x:v>
      </x:c>
      <x:c r="P44" s="37">
        <x:f t="shared" si="18"/>
        <x:v>144</x:v>
      </x:c>
      <x:c r="Q44" s="107">
        <x:f t="shared" si="19"/>
        <x:v>2496000</x:v>
      </x:c>
      <x:c r="R44" s="229">
        <x:f t="shared" si="26"/>
        <x:v>122</x:v>
      </x:c>
      <x:c r="S44" s="107">
        <x:f t="shared" si="20"/>
        <x:v>2117000</x:v>
      </x:c>
      <x:c r="T44" s="232">
        <x:f t="shared" si="1"/>
        <x:v>1248000</x:v>
      </x:c>
      <x:c r="U44" s="107">
        <x:f t="shared" si="2"/>
        <x:v>1248000</x:v>
      </x:c>
      <x:c r="V44" s="231">
        <x:f t="shared" si="3"/>
        <x:v>1058500</x:v>
      </x:c>
      <x:c r="W44" s="37" t="s">
        <x:v>60</x:v>
      </x:c>
      <x:c r="X44" s="107">
        <x:v>20000</x:v>
      </x:c>
      <x:c r="Y44" s="38">
        <x:f t="shared" si="21"/>
        <x:v>99800</x:v>
      </x:c>
      <x:c r="Z44" s="38">
        <x:f t="shared" si="22"/>
        <x:v>149700</x:v>
      </x:c>
      <x:c r="AA44" s="38">
        <x:f t="shared" si="23"/>
        <x:v>199600</x:v>
      </x:c>
      <x:c r="AB44" s="38">
        <x:f t="shared" si="24"/>
        <x:v>216200</x:v>
      </x:c>
      <x:c r="AC44" s="233" t="s">
        <x:v>60</x:v>
      </x:c>
      <x:c r="AD44" s="107">
        <x:v>20000</x:v>
      </x:c>
      <x:c r="AE44" s="38">
        <x:f t="shared" si="4"/>
        <x:v>99800</x:v>
      </x:c>
      <x:c r="AF44" s="38">
        <x:f t="shared" si="5"/>
        <x:v>149700</x:v>
      </x:c>
      <x:c r="AG44" s="38">
        <x:f t="shared" si="6"/>
        <x:v>199600</x:v>
      </x:c>
      <x:c r="AH44" s="38">
        <x:f t="shared" si="7"/>
        <x:v>216200</x:v>
      </x:c>
      <x:c r="AI44" s="234" t="s">
        <x:v>60</x:v>
      </x:c>
      <x:c r="AJ44" s="229" t="s">
        <x:v>60</x:v>
      </x:c>
      <x:c r="AK44" s="38">
        <x:f t="shared" si="8"/>
        <x:v>84600</x:v>
      </x:c>
      <x:c r="AL44" s="38">
        <x:f t="shared" si="9"/>
        <x:v>127000</x:v>
      </x:c>
      <x:c r="AM44" s="38">
        <x:f t="shared" si="10"/>
        <x:v>169300</x:v>
      </x:c>
      <x:c r="AN44" s="237">
        <x:f t="shared" si="11"/>
        <x:v>211700</x:v>
      </x:c>
      <x:c r="AO44" s="234" t="s">
        <x:v>60</x:v>
      </x:c>
      <x:c r="AP44" s="107">
        <x:v>20000</x:v>
      </x:c>
      <x:c r="AQ44" s="38">
        <x:f t="shared" si="28"/>
        <x:v>49900</x:v>
      </x:c>
      <x:c r="AR44" s="38">
        <x:f t="shared" si="29"/>
        <x:v>74800</x:v>
      </x:c>
      <x:c r="AS44" s="38">
        <x:f t="shared" si="30"/>
        <x:v>99800</x:v>
      </x:c>
      <x:c r="AT44" s="237">
        <x:f t="shared" si="31"/>
        <x:v>124800</x:v>
      </x:c>
      <x:c r="AU44" s="234" t="s">
        <x:v>60</x:v>
      </x:c>
      <x:c r="AV44" s="107">
        <x:v>20000</x:v>
      </x:c>
      <x:c r="AW44" s="38">
        <x:f t="shared" si="32"/>
        <x:v>49900</x:v>
      </x:c>
      <x:c r="AX44" s="38">
        <x:f t="shared" si="33"/>
        <x:v>74800</x:v>
      </x:c>
      <x:c r="AY44" s="38">
        <x:f t="shared" si="34"/>
        <x:v>99800</x:v>
      </x:c>
      <x:c r="AZ44" s="38">
        <x:f t="shared" si="35"/>
        <x:v>124800</x:v>
      </x:c>
      <x:c r="BA44" s="235" t="s">
        <x:v>60</x:v>
      </x:c>
      <x:c r="BB44" s="107" t="s">
        <x:v>60</x:v>
      </x:c>
      <x:c r="BC44" s="38">
        <x:f t="shared" si="12"/>
        <x:v>42300</x:v>
      </x:c>
      <x:c r="BD44" s="38">
        <x:f t="shared" si="13"/>
        <x:v>63500</x:v>
      </x:c>
      <x:c r="BE44" s="38">
        <x:f t="shared" si="14"/>
        <x:v>84600</x:v>
      </x:c>
      <x:c r="BF44" s="236">
        <x:f t="shared" si="15"/>
        <x:v>105800</x:v>
      </x:c>
      <x:c r="BG44" s="22"/>
    </x:row>
    <x:row r="45" spans="1:59">
      <x:c r="A45" s="22"/>
      <x:c r="B45" s="37" t="s">
        <x:v>62</x:v>
      </x:c>
      <x:c r="C45" s="229" t="s">
        <x:v>50</x:v>
      </x:c>
      <x:c r="D45" s="229"/>
      <x:c r="E45" s="230" t="s">
        <x:v>6</x:v>
      </x:c>
      <x:c r="F45" s="37">
        <x:v>94</x:v>
      </x:c>
      <x:c r="G45" s="229">
        <x:v>20</x:v>
      </x:c>
      <x:c r="H45" s="229"/>
      <x:c r="I45" s="229">
        <x:v>40</x:v>
      </x:c>
      <x:c r="J45" s="229">
        <x:f t="shared" si="0"/>
        <x:v>154</x:v>
      </x:c>
      <x:c r="K45" s="107">
        <x:f t="shared" si="16"/>
        <x:v>1627000</x:v>
      </x:c>
      <x:c r="L45" s="107">
        <x:f t="shared" si="41"/>
        <x:v>349000</x:v>
      </x:c>
      <x:c r="M45" s="107"/>
      <x:c r="N45" s="107">
        <x:f t="shared" si="45"/>
        <x:v>694000</x:v>
      </x:c>
      <x:c r="O45" s="231">
        <x:f t="shared" si="17"/>
        <x:v>2670000</x:v>
      </x:c>
      <x:c r="P45" s="37">
        <x:f t="shared" si="18"/>
        <x:v>154</x:v>
      </x:c>
      <x:c r="Q45" s="107">
        <x:f t="shared" si="19"/>
        <x:v>2670000</x:v>
      </x:c>
      <x:c r="R45" s="229">
        <x:f t="shared" si="26"/>
        <x:v>132</x:v>
      </x:c>
      <x:c r="S45" s="107">
        <x:f t="shared" si="20"/>
        <x:v>2291000</x:v>
      </x:c>
      <x:c r="T45" s="232">
        <x:f t="shared" si="1"/>
        <x:v>1335000</x:v>
      </x:c>
      <x:c r="U45" s="107">
        <x:f t="shared" si="2"/>
        <x:v>1335000</x:v>
      </x:c>
      <x:c r="V45" s="231">
        <x:f t="shared" si="3"/>
        <x:v>1145500</x:v>
      </x:c>
      <x:c r="W45" s="37" t="s">
        <x:v>60</x:v>
      </x:c>
      <x:c r="X45" s="107">
        <x:v>20000</x:v>
      </x:c>
      <x:c r="Y45" s="38">
        <x:f t="shared" si="21"/>
        <x:v>106800</x:v>
      </x:c>
      <x:c r="Z45" s="38">
        <x:f t="shared" si="22"/>
        <x:v>160200</x:v>
      </x:c>
      <x:c r="AA45" s="38">
        <x:f t="shared" si="23"/>
        <x:v>213600</x:v>
      </x:c>
      <x:c r="AB45" s="38">
        <x:f t="shared" si="24"/>
        <x:v>216200</x:v>
      </x:c>
      <x:c r="AC45" s="233" t="s">
        <x:v>60</x:v>
      </x:c>
      <x:c r="AD45" s="107">
        <x:v>20000</x:v>
      </x:c>
      <x:c r="AE45" s="38">
        <x:f t="shared" si="4"/>
        <x:v>106800</x:v>
      </x:c>
      <x:c r="AF45" s="38">
        <x:f t="shared" si="5"/>
        <x:v>160200</x:v>
      </x:c>
      <x:c r="AG45" s="38">
        <x:f t="shared" si="6"/>
        <x:v>213600</x:v>
      </x:c>
      <x:c r="AH45" s="38">
        <x:f t="shared" si="7"/>
        <x:v>216200</x:v>
      </x:c>
      <x:c r="AI45" s="234" t="s">
        <x:v>60</x:v>
      </x:c>
      <x:c r="AJ45" s="229" t="s">
        <x:v>60</x:v>
      </x:c>
      <x:c r="AK45" s="38">
        <x:f t="shared" si="8"/>
        <x:v>91600</x:v>
      </x:c>
      <x:c r="AL45" s="38">
        <x:f t="shared" si="9"/>
        <x:v>137400</x:v>
      </x:c>
      <x:c r="AM45" s="38">
        <x:f t="shared" si="10"/>
        <x:v>183200</x:v>
      </x:c>
      <x:c r="AN45" s="237">
        <x:f t="shared" si="11"/>
        <x:v>216200</x:v>
      </x:c>
      <x:c r="AO45" s="234" t="s">
        <x:v>60</x:v>
      </x:c>
      <x:c r="AP45" s="107">
        <x:v>20000</x:v>
      </x:c>
      <x:c r="AQ45" s="38">
        <x:f t="shared" si="28"/>
        <x:v>53400</x:v>
      </x:c>
      <x:c r="AR45" s="38">
        <x:f t="shared" si="29"/>
        <x:v>80100</x:v>
      </x:c>
      <x:c r="AS45" s="38">
        <x:f t="shared" si="30"/>
        <x:v>106800</x:v>
      </x:c>
      <x:c r="AT45" s="237">
        <x:f t="shared" si="31"/>
        <x:v>133500</x:v>
      </x:c>
      <x:c r="AU45" s="234" t="s">
        <x:v>60</x:v>
      </x:c>
      <x:c r="AV45" s="107">
        <x:v>20000</x:v>
      </x:c>
      <x:c r="AW45" s="38">
        <x:f t="shared" si="32"/>
        <x:v>53400</x:v>
      </x:c>
      <x:c r="AX45" s="38">
        <x:f t="shared" si="33"/>
        <x:v>80100</x:v>
      </x:c>
      <x:c r="AY45" s="38">
        <x:f t="shared" si="34"/>
        <x:v>106800</x:v>
      </x:c>
      <x:c r="AZ45" s="38">
        <x:f t="shared" si="35"/>
        <x:v>133500</x:v>
      </x:c>
      <x:c r="BA45" s="235" t="s">
        <x:v>60</x:v>
      </x:c>
      <x:c r="BB45" s="107" t="s">
        <x:v>60</x:v>
      </x:c>
      <x:c r="BC45" s="38">
        <x:f t="shared" si="12"/>
        <x:v>45800</x:v>
      </x:c>
      <x:c r="BD45" s="38">
        <x:f t="shared" si="13"/>
        <x:v>68700</x:v>
      </x:c>
      <x:c r="BE45" s="38">
        <x:f t="shared" si="14"/>
        <x:v>91600</x:v>
      </x:c>
      <x:c r="BF45" s="236">
        <x:f t="shared" si="15"/>
        <x:v>114500</x:v>
      </x:c>
      <x:c r="BG45" s="22"/>
    </x:row>
    <x:row r="46" spans="1:59">
      <x:c r="A46" s="22"/>
      <x:c r="B46" s="37" t="s">
        <x:v>62</x:v>
      </x:c>
      <x:c r="C46" s="229" t="s">
        <x:v>52</x:v>
      </x:c>
      <x:c r="D46" s="229"/>
      <x:c r="E46" s="230" t="s">
        <x:v>6</x:v>
      </x:c>
      <x:c r="F46" s="37">
        <x:v>94</x:v>
      </x:c>
      <x:c r="G46" s="229">
        <x:v>20</x:v>
      </x:c>
      <x:c r="H46" s="229"/>
      <x:c r="I46" s="229">
        <x:v>40</x:v>
      </x:c>
      <x:c r="J46" s="229">
        <x:f t="shared" si="0"/>
        <x:v>154</x:v>
      </x:c>
      <x:c r="K46" s="107">
        <x:f t="shared" si="16"/>
        <x:v>1627000</x:v>
      </x:c>
      <x:c r="L46" s="107">
        <x:f t="shared" si="41"/>
        <x:v>349000</x:v>
      </x:c>
      <x:c r="M46" s="107"/>
      <x:c r="N46" s="107">
        <x:f t="shared" si="45"/>
        <x:v>694000</x:v>
      </x:c>
      <x:c r="O46" s="231">
        <x:f t="shared" si="17"/>
        <x:v>2670000</x:v>
      </x:c>
      <x:c r="P46" s="37">
        <x:f t="shared" si="18"/>
        <x:v>154</x:v>
      </x:c>
      <x:c r="Q46" s="107">
        <x:f t="shared" si="19"/>
        <x:v>2670000</x:v>
      </x:c>
      <x:c r="R46" s="229">
        <x:f t="shared" si="26"/>
        <x:v>132</x:v>
      </x:c>
      <x:c r="S46" s="107">
        <x:f t="shared" si="20"/>
        <x:v>2291000</x:v>
      </x:c>
      <x:c r="T46" s="232">
        <x:f t="shared" si="1"/>
        <x:v>1335000</x:v>
      </x:c>
      <x:c r="U46" s="107">
        <x:f t="shared" si="2"/>
        <x:v>1335000</x:v>
      </x:c>
      <x:c r="V46" s="231">
        <x:f t="shared" si="3"/>
        <x:v>1145500</x:v>
      </x:c>
      <x:c r="W46" s="37" t="s">
        <x:v>60</x:v>
      </x:c>
      <x:c r="X46" s="107">
        <x:v>20000</x:v>
      </x:c>
      <x:c r="Y46" s="38">
        <x:f t="shared" si="21"/>
        <x:v>106800</x:v>
      </x:c>
      <x:c r="Z46" s="38">
        <x:f t="shared" si="22"/>
        <x:v>160200</x:v>
      </x:c>
      <x:c r="AA46" s="38">
        <x:f t="shared" si="23"/>
        <x:v>213600</x:v>
      </x:c>
      <x:c r="AB46" s="38">
        <x:f t="shared" si="24"/>
        <x:v>216200</x:v>
      </x:c>
      <x:c r="AC46" s="233" t="s">
        <x:v>60</x:v>
      </x:c>
      <x:c r="AD46" s="107">
        <x:v>20000</x:v>
      </x:c>
      <x:c r="AE46" s="38">
        <x:f t="shared" si="4"/>
        <x:v>106800</x:v>
      </x:c>
      <x:c r="AF46" s="38">
        <x:f t="shared" si="5"/>
        <x:v>160200</x:v>
      </x:c>
      <x:c r="AG46" s="38">
        <x:f t="shared" si="6"/>
        <x:v>213600</x:v>
      </x:c>
      <x:c r="AH46" s="38">
        <x:f t="shared" si="7"/>
        <x:v>216200</x:v>
      </x:c>
      <x:c r="AI46" s="234" t="s">
        <x:v>60</x:v>
      </x:c>
      <x:c r="AJ46" s="229" t="s">
        <x:v>60</x:v>
      </x:c>
      <x:c r="AK46" s="38">
        <x:f t="shared" si="8"/>
        <x:v>91600</x:v>
      </x:c>
      <x:c r="AL46" s="38">
        <x:f t="shared" si="9"/>
        <x:v>137400</x:v>
      </x:c>
      <x:c r="AM46" s="38">
        <x:f t="shared" si="10"/>
        <x:v>183200</x:v>
      </x:c>
      <x:c r="AN46" s="237">
        <x:f t="shared" si="11"/>
        <x:v>216200</x:v>
      </x:c>
      <x:c r="AO46" s="234" t="s">
        <x:v>60</x:v>
      </x:c>
      <x:c r="AP46" s="107">
        <x:v>20000</x:v>
      </x:c>
      <x:c r="AQ46" s="38">
        <x:f t="shared" si="28"/>
        <x:v>53400</x:v>
      </x:c>
      <x:c r="AR46" s="38">
        <x:f t="shared" si="29"/>
        <x:v>80100</x:v>
      </x:c>
      <x:c r="AS46" s="38">
        <x:f t="shared" si="30"/>
        <x:v>106800</x:v>
      </x:c>
      <x:c r="AT46" s="237">
        <x:f t="shared" si="31"/>
        <x:v>133500</x:v>
      </x:c>
      <x:c r="AU46" s="234" t="s">
        <x:v>60</x:v>
      </x:c>
      <x:c r="AV46" s="107">
        <x:v>20000</x:v>
      </x:c>
      <x:c r="AW46" s="38">
        <x:f t="shared" si="32"/>
        <x:v>53400</x:v>
      </x:c>
      <x:c r="AX46" s="38">
        <x:f t="shared" si="33"/>
        <x:v>80100</x:v>
      </x:c>
      <x:c r="AY46" s="38">
        <x:f t="shared" si="34"/>
        <x:v>106800</x:v>
      </x:c>
      <x:c r="AZ46" s="38">
        <x:f t="shared" si="35"/>
        <x:v>133500</x:v>
      </x:c>
      <x:c r="BA46" s="235" t="s">
        <x:v>60</x:v>
      </x:c>
      <x:c r="BB46" s="107" t="s">
        <x:v>60</x:v>
      </x:c>
      <x:c r="BC46" s="38">
        <x:f t="shared" si="12"/>
        <x:v>45800</x:v>
      </x:c>
      <x:c r="BD46" s="38">
        <x:f t="shared" si="13"/>
        <x:v>68700</x:v>
      </x:c>
      <x:c r="BE46" s="38">
        <x:f t="shared" si="14"/>
        <x:v>91600</x:v>
      </x:c>
      <x:c r="BF46" s="236">
        <x:f t="shared" si="15"/>
        <x:v>114500</x:v>
      </x:c>
      <x:c r="BG46" s="22"/>
    </x:row>
    <x:row r="47" spans="1:59">
      <x:c r="A47" s="22"/>
      <x:c r="B47" s="37" t="s">
        <x:v>64</x:v>
      </x:c>
      <x:c r="C47" s="229" t="s">
        <x:v>99</x:v>
      </x:c>
      <x:c r="D47" s="229"/>
      <x:c r="E47" s="230"/>
      <x:c r="F47" s="37">
        <x:v>118</x:v>
      </x:c>
      <x:c r="G47" s="229">
        <x:v>40</x:v>
      </x:c>
      <x:c r="H47" s="229"/>
      <x:c r="I47" s="229"/>
      <x:c r="J47" s="229">
        <x:f t="shared" si="0"/>
        <x:v>158</x:v>
      </x:c>
      <x:c r="K47" s="107">
        <x:f t="shared" si="16"/>
        <x:v>2041000</x:v>
      </x:c>
      <x:c r="L47" s="107">
        <x:f t="shared" si="41"/>
        <x:v>694000</x:v>
      </x:c>
      <x:c r="M47" s="107"/>
      <x:c r="N47" s="107"/>
      <x:c r="O47" s="231">
        <x:f t="shared" si="17"/>
        <x:v>2735000</x:v>
      </x:c>
      <x:c r="P47" s="37">
        <x:f t="shared" si="18"/>
        <x:v>158</x:v>
      </x:c>
      <x:c r="Q47" s="107">
        <x:f t="shared" si="19"/>
        <x:v>2735000</x:v>
      </x:c>
      <x:c r="R47" s="229">
        <x:f t="shared" si="26"/>
        <x:v>136</x:v>
      </x:c>
      <x:c r="S47" s="107">
        <x:f t="shared" si="20"/>
        <x:v>2356000</x:v>
      </x:c>
      <x:c r="T47" s="232">
        <x:f t="shared" si="1"/>
        <x:v>1367500</x:v>
      </x:c>
      <x:c r="U47" s="107">
        <x:f t="shared" si="2"/>
        <x:v>1367500</x:v>
      </x:c>
      <x:c r="V47" s="231">
        <x:f t="shared" si="3"/>
        <x:v>1178000</x:v>
      </x:c>
      <x:c r="W47" s="37" t="s">
        <x:v>60</x:v>
      </x:c>
      <x:c r="X47" s="107">
        <x:v>20000</x:v>
      </x:c>
      <x:c r="Y47" s="38">
        <x:f t="shared" si="21"/>
        <x:v>109400</x:v>
      </x:c>
      <x:c r="Z47" s="38">
        <x:f t="shared" si="22"/>
        <x:v>164100</x:v>
      </x:c>
      <x:c r="AA47" s="38">
        <x:f t="shared" si="23"/>
        <x:v>216200</x:v>
      </x:c>
      <x:c r="AB47" s="38">
        <x:f t="shared" si="24"/>
        <x:v>216200</x:v>
      </x:c>
      <x:c r="AC47" s="233" t="s">
        <x:v>60</x:v>
      </x:c>
      <x:c r="AD47" s="107">
        <x:v>20000</x:v>
      </x:c>
      <x:c r="AE47" s="38">
        <x:f t="shared" si="4"/>
        <x:v>109400</x:v>
      </x:c>
      <x:c r="AF47" s="38">
        <x:f t="shared" si="5"/>
        <x:v>164100</x:v>
      </x:c>
      <x:c r="AG47" s="38">
        <x:f t="shared" si="6"/>
        <x:v>216200</x:v>
      </x:c>
      <x:c r="AH47" s="38">
        <x:f t="shared" si="7"/>
        <x:v>216200</x:v>
      </x:c>
      <x:c r="AI47" s="234" t="s">
        <x:v>60</x:v>
      </x:c>
      <x:c r="AJ47" s="229" t="s">
        <x:v>60</x:v>
      </x:c>
      <x:c r="AK47" s="38">
        <x:f t="shared" si="8"/>
        <x:v>94200</x:v>
      </x:c>
      <x:c r="AL47" s="38">
        <x:f t="shared" si="9"/>
        <x:v>141300</x:v>
      </x:c>
      <x:c r="AM47" s="38">
        <x:f t="shared" si="10"/>
        <x:v>188400</x:v>
      </x:c>
      <x:c r="AN47" s="237">
        <x:f t="shared" si="11"/>
        <x:v>216200</x:v>
      </x:c>
      <x:c r="AO47" s="234" t="s">
        <x:v>60</x:v>
      </x:c>
      <x:c r="AP47" s="107">
        <x:v>20000</x:v>
      </x:c>
      <x:c r="AQ47" s="38">
        <x:f t="shared" si="28"/>
        <x:v>54700</x:v>
      </x:c>
      <x:c r="AR47" s="38">
        <x:f t="shared" si="29"/>
        <x:v>82000</x:v>
      </x:c>
      <x:c r="AS47" s="38">
        <x:f t="shared" si="30"/>
        <x:v>109400</x:v>
      </x:c>
      <x:c r="AT47" s="237">
        <x:f t="shared" si="31"/>
        <x:v>136700</x:v>
      </x:c>
      <x:c r="AU47" s="234" t="s">
        <x:v>60</x:v>
      </x:c>
      <x:c r="AV47" s="107">
        <x:v>20000</x:v>
      </x:c>
      <x:c r="AW47" s="38">
        <x:f t="shared" si="32"/>
        <x:v>54700</x:v>
      </x:c>
      <x:c r="AX47" s="38">
        <x:f t="shared" si="33"/>
        <x:v>82000</x:v>
      </x:c>
      <x:c r="AY47" s="38">
        <x:f t="shared" si="34"/>
        <x:v>109400</x:v>
      </x:c>
      <x:c r="AZ47" s="38">
        <x:f t="shared" si="35"/>
        <x:v>136700</x:v>
      </x:c>
      <x:c r="BA47" s="235" t="s">
        <x:v>60</x:v>
      </x:c>
      <x:c r="BB47" s="107" t="s">
        <x:v>60</x:v>
      </x:c>
      <x:c r="BC47" s="38">
        <x:f t="shared" si="12"/>
        <x:v>47100</x:v>
      </x:c>
      <x:c r="BD47" s="38">
        <x:f t="shared" si="13"/>
        <x:v>70600</x:v>
      </x:c>
      <x:c r="BE47" s="38">
        <x:f t="shared" si="14"/>
        <x:v>94200</x:v>
      </x:c>
      <x:c r="BF47" s="236">
        <x:f t="shared" si="15"/>
        <x:v>117800</x:v>
      </x:c>
      <x:c r="BG47" s="22"/>
    </x:row>
    <x:row r="48" spans="1:59">
      <x:c r="A48" s="22"/>
      <x:c r="B48" s="37" t="s">
        <x:v>62</x:v>
      </x:c>
      <x:c r="C48" s="229" t="s">
        <x:v>50</x:v>
      </x:c>
      <x:c r="D48" s="229" t="s">
        <x:v>6</x:v>
      </x:c>
      <x:c r="E48" s="230" t="s">
        <x:v>6</x:v>
      </x:c>
      <x:c r="F48" s="37">
        <x:v>94</x:v>
      </x:c>
      <x:c r="G48" s="229">
        <x:v>20</x:v>
      </x:c>
      <x:c r="H48" s="229">
        <x:v>10</x:v>
      </x:c>
      <x:c r="I48" s="229">
        <x:v>40</x:v>
      </x:c>
      <x:c r="J48" s="229">
        <x:f t="shared" si="0"/>
        <x:v>164</x:v>
      </x:c>
      <x:c r="K48" s="107">
        <x:f t="shared" si="16"/>
        <x:v>1627000</x:v>
      </x:c>
      <x:c r="L48" s="107">
        <x:f t="shared" si="41"/>
        <x:v>349000</x:v>
      </x:c>
      <x:c r="M48" s="107">
        <x:f t="shared" ref="M48:M49" si="46">HLOOKUP($M$10,$I$1:$T$2,2,FALSE)</x:f>
        <x:v>175000</x:v>
      </x:c>
      <x:c r="N48" s="107">
        <x:f t="shared" ref="N48:N50" si="47">HLOOKUP($N$10,$I$1:$T$2,2,FALSE)</x:f>
        <x:v>694000</x:v>
      </x:c>
      <x:c r="O48" s="231">
        <x:f t="shared" si="17"/>
        <x:v>2845000</x:v>
      </x:c>
      <x:c r="P48" s="37">
        <x:f t="shared" si="18"/>
        <x:v>164</x:v>
      </x:c>
      <x:c r="Q48" s="107">
        <x:f t="shared" si="19"/>
        <x:v>2845000</x:v>
      </x:c>
      <x:c r="R48" s="229">
        <x:f t="shared" si="26"/>
        <x:v>142</x:v>
      </x:c>
      <x:c r="S48" s="107">
        <x:f t="shared" si="20"/>
        <x:v>2466000</x:v>
      </x:c>
      <x:c r="T48" s="232">
        <x:f t="shared" si="1"/>
        <x:v>1422500</x:v>
      </x:c>
      <x:c r="U48" s="107">
        <x:f t="shared" si="2"/>
        <x:v>1422500</x:v>
      </x:c>
      <x:c r="V48" s="231">
        <x:f t="shared" si="3"/>
        <x:v>1233000</x:v>
      </x:c>
      <x:c r="W48" s="37" t="s">
        <x:v>60</x:v>
      </x:c>
      <x:c r="X48" s="107">
        <x:v>20000</x:v>
      </x:c>
      <x:c r="Y48" s="38">
        <x:f t="shared" si="21"/>
        <x:v>113800</x:v>
      </x:c>
      <x:c r="Z48" s="38">
        <x:f t="shared" si="22"/>
        <x:v>170700</x:v>
      </x:c>
      <x:c r="AA48" s="38">
        <x:f t="shared" si="23"/>
        <x:v>216200</x:v>
      </x:c>
      <x:c r="AB48" s="38">
        <x:f t="shared" si="24"/>
        <x:v>216200</x:v>
      </x:c>
      <x:c r="AC48" s="233" t="s">
        <x:v>60</x:v>
      </x:c>
      <x:c r="AD48" s="107">
        <x:v>20000</x:v>
      </x:c>
      <x:c r="AE48" s="38">
        <x:f t="shared" si="4"/>
        <x:v>113800</x:v>
      </x:c>
      <x:c r="AF48" s="38">
        <x:f t="shared" si="5"/>
        <x:v>170700</x:v>
      </x:c>
      <x:c r="AG48" s="38">
        <x:f t="shared" si="6"/>
        <x:v>216200</x:v>
      </x:c>
      <x:c r="AH48" s="38">
        <x:f t="shared" si="7"/>
        <x:v>216200</x:v>
      </x:c>
      <x:c r="AI48" s="234" t="s">
        <x:v>60</x:v>
      </x:c>
      <x:c r="AJ48" s="229" t="s">
        <x:v>60</x:v>
      </x:c>
      <x:c r="AK48" s="38">
        <x:f t="shared" si="8"/>
        <x:v>98600</x:v>
      </x:c>
      <x:c r="AL48" s="38">
        <x:f t="shared" si="9"/>
        <x:v>147900</x:v>
      </x:c>
      <x:c r="AM48" s="38">
        <x:f t="shared" si="10"/>
        <x:v>197200</x:v>
      </x:c>
      <x:c r="AN48" s="237">
        <x:f t="shared" si="11"/>
        <x:v>216200</x:v>
      </x:c>
      <x:c r="AO48" s="234" t="s">
        <x:v>60</x:v>
      </x:c>
      <x:c r="AP48" s="107">
        <x:v>20000</x:v>
      </x:c>
      <x:c r="AQ48" s="38">
        <x:f t="shared" si="28"/>
        <x:v>56900</x:v>
      </x:c>
      <x:c r="AR48" s="38">
        <x:f t="shared" si="29"/>
        <x:v>85300</x:v>
      </x:c>
      <x:c r="AS48" s="38">
        <x:f t="shared" si="30"/>
        <x:v>113800</x:v>
      </x:c>
      <x:c r="AT48" s="237">
        <x:f t="shared" si="31"/>
        <x:v>142200</x:v>
      </x:c>
      <x:c r="AU48" s="234" t="s">
        <x:v>60</x:v>
      </x:c>
      <x:c r="AV48" s="107">
        <x:v>20000</x:v>
      </x:c>
      <x:c r="AW48" s="38">
        <x:f t="shared" si="32"/>
        <x:v>56900</x:v>
      </x:c>
      <x:c r="AX48" s="38">
        <x:f t="shared" si="33"/>
        <x:v>85300</x:v>
      </x:c>
      <x:c r="AY48" s="38">
        <x:f t="shared" si="34"/>
        <x:v>113800</x:v>
      </x:c>
      <x:c r="AZ48" s="38">
        <x:f t="shared" si="35"/>
        <x:v>142200</x:v>
      </x:c>
      <x:c r="BA48" s="235" t="s">
        <x:v>60</x:v>
      </x:c>
      <x:c r="BB48" s="107" t="s">
        <x:v>60</x:v>
      </x:c>
      <x:c r="BC48" s="38">
        <x:f t="shared" si="12"/>
        <x:v>49300</x:v>
      </x:c>
      <x:c r="BD48" s="38">
        <x:f t="shared" si="13"/>
        <x:v>73900</x:v>
      </x:c>
      <x:c r="BE48" s="38">
        <x:f t="shared" si="14"/>
        <x:v>98600</x:v>
      </x:c>
      <x:c r="BF48" s="236">
        <x:f t="shared" si="15"/>
        <x:v>123300</x:v>
      </x:c>
      <x:c r="BG48" s="22"/>
    </x:row>
    <x:row r="49" spans="1:59">
      <x:c r="A49" s="12"/>
      <x:c r="B49" s="37" t="s">
        <x:v>62</x:v>
      </x:c>
      <x:c r="C49" s="229" t="s">
        <x:v>52</x:v>
      </x:c>
      <x:c r="D49" s="229" t="s">
        <x:v>6</x:v>
      </x:c>
      <x:c r="E49" s="230" t="s">
        <x:v>6</x:v>
      </x:c>
      <x:c r="F49" s="37">
        <x:v>94</x:v>
      </x:c>
      <x:c r="G49" s="229">
        <x:v>20</x:v>
      </x:c>
      <x:c r="H49" s="229">
        <x:v>10</x:v>
      </x:c>
      <x:c r="I49" s="229">
        <x:v>40</x:v>
      </x:c>
      <x:c r="J49" s="229">
        <x:f t="shared" si="0"/>
        <x:v>164</x:v>
      </x:c>
      <x:c r="K49" s="107">
        <x:f t="shared" si="16"/>
        <x:v>1627000</x:v>
      </x:c>
      <x:c r="L49" s="107">
        <x:f t="shared" si="41"/>
        <x:v>349000</x:v>
      </x:c>
      <x:c r="M49" s="107">
        <x:f t="shared" si="46"/>
        <x:v>175000</x:v>
      </x:c>
      <x:c r="N49" s="107">
        <x:f t="shared" si="47"/>
        <x:v>694000</x:v>
      </x:c>
      <x:c r="O49" s="231">
        <x:f t="shared" si="17"/>
        <x:v>2845000</x:v>
      </x:c>
      <x:c r="P49" s="37">
        <x:f t="shared" si="18"/>
        <x:v>164</x:v>
      </x:c>
      <x:c r="Q49" s="107">
        <x:f t="shared" si="19"/>
        <x:v>2845000</x:v>
      </x:c>
      <x:c r="R49" s="229">
        <x:f t="shared" si="26"/>
        <x:v>142</x:v>
      </x:c>
      <x:c r="S49" s="107">
        <x:f t="shared" si="20"/>
        <x:v>2466000</x:v>
      </x:c>
      <x:c r="T49" s="232">
        <x:f t="shared" si="1"/>
        <x:v>1422500</x:v>
      </x:c>
      <x:c r="U49" s="107">
        <x:f t="shared" si="2"/>
        <x:v>1422500</x:v>
      </x:c>
      <x:c r="V49" s="231">
        <x:f t="shared" si="3"/>
        <x:v>1233000</x:v>
      </x:c>
      <x:c r="W49" s="37" t="s">
        <x:v>60</x:v>
      </x:c>
      <x:c r="X49" s="107">
        <x:v>20000</x:v>
      </x:c>
      <x:c r="Y49" s="38">
        <x:f t="shared" si="21"/>
        <x:v>113800</x:v>
      </x:c>
      <x:c r="Z49" s="38">
        <x:f t="shared" si="22"/>
        <x:v>170700</x:v>
      </x:c>
      <x:c r="AA49" s="38">
        <x:f t="shared" si="23"/>
        <x:v>216200</x:v>
      </x:c>
      <x:c r="AB49" s="38">
        <x:f t="shared" si="24"/>
        <x:v>216200</x:v>
      </x:c>
      <x:c r="AC49" s="233" t="s">
        <x:v>60</x:v>
      </x:c>
      <x:c r="AD49" s="107">
        <x:v>20000</x:v>
      </x:c>
      <x:c r="AE49" s="38">
        <x:f t="shared" si="4"/>
        <x:v>113800</x:v>
      </x:c>
      <x:c r="AF49" s="38">
        <x:f t="shared" si="5"/>
        <x:v>170700</x:v>
      </x:c>
      <x:c r="AG49" s="38">
        <x:f t="shared" si="6"/>
        <x:v>216200</x:v>
      </x:c>
      <x:c r="AH49" s="38">
        <x:f t="shared" si="7"/>
        <x:v>216200</x:v>
      </x:c>
      <x:c r="AI49" s="234" t="s">
        <x:v>60</x:v>
      </x:c>
      <x:c r="AJ49" s="229" t="s">
        <x:v>60</x:v>
      </x:c>
      <x:c r="AK49" s="38">
        <x:f t="shared" si="8"/>
        <x:v>98600</x:v>
      </x:c>
      <x:c r="AL49" s="38">
        <x:f t="shared" si="9"/>
        <x:v>147900</x:v>
      </x:c>
      <x:c r="AM49" s="38">
        <x:f t="shared" si="10"/>
        <x:v>197200</x:v>
      </x:c>
      <x:c r="AN49" s="237">
        <x:f t="shared" si="11"/>
        <x:v>216200</x:v>
      </x:c>
      <x:c r="AO49" s="234" t="s">
        <x:v>60</x:v>
      </x:c>
      <x:c r="AP49" s="107">
        <x:v>20000</x:v>
      </x:c>
      <x:c r="AQ49" s="38">
        <x:f t="shared" si="28"/>
        <x:v>56900</x:v>
      </x:c>
      <x:c r="AR49" s="38">
        <x:f t="shared" si="29"/>
        <x:v>85300</x:v>
      </x:c>
      <x:c r="AS49" s="38">
        <x:f t="shared" si="30"/>
        <x:v>113800</x:v>
      </x:c>
      <x:c r="AT49" s="237">
        <x:f t="shared" si="31"/>
        <x:v>142200</x:v>
      </x:c>
      <x:c r="AU49" s="234" t="s">
        <x:v>60</x:v>
      </x:c>
      <x:c r="AV49" s="107">
        <x:v>20000</x:v>
      </x:c>
      <x:c r="AW49" s="38">
        <x:f t="shared" si="32"/>
        <x:v>56900</x:v>
      </x:c>
      <x:c r="AX49" s="38">
        <x:f t="shared" si="33"/>
        <x:v>85300</x:v>
      </x:c>
      <x:c r="AY49" s="38">
        <x:f t="shared" si="34"/>
        <x:v>113800</x:v>
      </x:c>
      <x:c r="AZ49" s="38">
        <x:f t="shared" si="35"/>
        <x:v>142200</x:v>
      </x:c>
      <x:c r="BA49" s="235" t="s">
        <x:v>60</x:v>
      </x:c>
      <x:c r="BB49" s="107" t="s">
        <x:v>60</x:v>
      </x:c>
      <x:c r="BC49" s="38">
        <x:f t="shared" si="12"/>
        <x:v>49300</x:v>
      </x:c>
      <x:c r="BD49" s="38">
        <x:f t="shared" si="13"/>
        <x:v>73900</x:v>
      </x:c>
      <x:c r="BE49" s="38">
        <x:f t="shared" si="14"/>
        <x:v>98600</x:v>
      </x:c>
      <x:c r="BF49" s="236">
        <x:f t="shared" si="15"/>
        <x:v>123300</x:v>
      </x:c>
      <x:c r="BG49" s="12"/>
    </x:row>
    <x:row r="50" spans="1:59">
      <x:c r="A50" s="12"/>
      <x:c r="B50" s="37" t="s">
        <x:v>64</x:v>
      </x:c>
      <x:c r="C50" s="229" t="s">
        <x:v>11</x:v>
      </x:c>
      <x:c r="D50" s="229"/>
      <x:c r="E50" s="230" t="s">
        <x:v>6</x:v>
      </x:c>
      <x:c r="F50" s="37">
        <x:v>118</x:v>
      </x:c>
      <x:c r="G50" s="229">
        <x:v>10</x:v>
      </x:c>
      <x:c r="H50" s="229"/>
      <x:c r="I50" s="229">
        <x:v>40</x:v>
      </x:c>
      <x:c r="J50" s="229">
        <x:f t="shared" si="0"/>
        <x:v>168</x:v>
      </x:c>
      <x:c r="K50" s="107">
        <x:f t="shared" si="16"/>
        <x:v>2041000</x:v>
      </x:c>
      <x:c r="L50" s="107">
        <x:f t="shared" si="41"/>
        <x:v>175000</x:v>
      </x:c>
      <x:c r="M50" s="107"/>
      <x:c r="N50" s="107">
        <x:f t="shared" si="47"/>
        <x:v>694000</x:v>
      </x:c>
      <x:c r="O50" s="231">
        <x:f t="shared" si="17"/>
        <x:v>2910000</x:v>
      </x:c>
      <x:c r="P50" s="37">
        <x:f t="shared" si="18"/>
        <x:v>168</x:v>
      </x:c>
      <x:c r="Q50" s="107">
        <x:f t="shared" si="19"/>
        <x:v>2910000</x:v>
      </x:c>
      <x:c r="R50" s="229">
        <x:f t="shared" si="26"/>
        <x:v>146</x:v>
      </x:c>
      <x:c r="S50" s="107">
        <x:f t="shared" si="20"/>
        <x:v>2531000</x:v>
      </x:c>
      <x:c r="T50" s="232">
        <x:f t="shared" si="1"/>
        <x:v>1455000</x:v>
      </x:c>
      <x:c r="U50" s="107">
        <x:f t="shared" si="2"/>
        <x:v>1455000</x:v>
      </x:c>
      <x:c r="V50" s="231">
        <x:f t="shared" si="3"/>
        <x:v>1265500</x:v>
      </x:c>
      <x:c r="W50" s="37" t="s">
        <x:v>60</x:v>
      </x:c>
      <x:c r="X50" s="107">
        <x:v>20000</x:v>
      </x:c>
      <x:c r="Y50" s="38">
        <x:f t="shared" si="21"/>
        <x:v>116400</x:v>
      </x:c>
      <x:c r="Z50" s="38">
        <x:f t="shared" si="22"/>
        <x:v>174600</x:v>
      </x:c>
      <x:c r="AA50" s="38">
        <x:f t="shared" si="23"/>
        <x:v>216200</x:v>
      </x:c>
      <x:c r="AB50" s="38">
        <x:f t="shared" si="24"/>
        <x:v>216200</x:v>
      </x:c>
      <x:c r="AC50" s="233" t="s">
        <x:v>60</x:v>
      </x:c>
      <x:c r="AD50" s="107">
        <x:v>20000</x:v>
      </x:c>
      <x:c r="AE50" s="38">
        <x:f t="shared" si="4"/>
        <x:v>116400</x:v>
      </x:c>
      <x:c r="AF50" s="38">
        <x:f t="shared" si="5"/>
        <x:v>174600</x:v>
      </x:c>
      <x:c r="AG50" s="38">
        <x:f t="shared" si="6"/>
        <x:v>216200</x:v>
      </x:c>
      <x:c r="AH50" s="38">
        <x:f t="shared" si="7"/>
        <x:v>216200</x:v>
      </x:c>
      <x:c r="AI50" s="234" t="s">
        <x:v>60</x:v>
      </x:c>
      <x:c r="AJ50" s="229" t="s">
        <x:v>60</x:v>
      </x:c>
      <x:c r="AK50" s="38">
        <x:f t="shared" si="8"/>
        <x:v>101200</x:v>
      </x:c>
      <x:c r="AL50" s="38">
        <x:f t="shared" si="9"/>
        <x:v>151800</x:v>
      </x:c>
      <x:c r="AM50" s="38">
        <x:f t="shared" si="10"/>
        <x:v>202400</x:v>
      </x:c>
      <x:c r="AN50" s="237">
        <x:f t="shared" si="11"/>
        <x:v>216200</x:v>
      </x:c>
      <x:c r="AO50" s="234" t="s">
        <x:v>60</x:v>
      </x:c>
      <x:c r="AP50" s="107">
        <x:v>20000</x:v>
      </x:c>
      <x:c r="AQ50" s="38">
        <x:f t="shared" si="28"/>
        <x:v>58200</x:v>
      </x:c>
      <x:c r="AR50" s="38">
        <x:f t="shared" si="29"/>
        <x:v>87300</x:v>
      </x:c>
      <x:c r="AS50" s="38">
        <x:f t="shared" si="30"/>
        <x:v>116400</x:v>
      </x:c>
      <x:c r="AT50" s="237">
        <x:f t="shared" si="31"/>
        <x:v>145500</x:v>
      </x:c>
      <x:c r="AU50" s="234" t="s">
        <x:v>60</x:v>
      </x:c>
      <x:c r="AV50" s="107">
        <x:v>20000</x:v>
      </x:c>
      <x:c r="AW50" s="38">
        <x:f t="shared" si="32"/>
        <x:v>58200</x:v>
      </x:c>
      <x:c r="AX50" s="38">
        <x:f t="shared" si="33"/>
        <x:v>87300</x:v>
      </x:c>
      <x:c r="AY50" s="38">
        <x:f t="shared" si="34"/>
        <x:v>116400</x:v>
      </x:c>
      <x:c r="AZ50" s="38">
        <x:f t="shared" si="35"/>
        <x:v>145500</x:v>
      </x:c>
      <x:c r="BA50" s="235" t="s">
        <x:v>60</x:v>
      </x:c>
      <x:c r="BB50" s="107" t="s">
        <x:v>60</x:v>
      </x:c>
      <x:c r="BC50" s="38">
        <x:f t="shared" si="12"/>
        <x:v>50600</x:v>
      </x:c>
      <x:c r="BD50" s="38">
        <x:f t="shared" si="13"/>
        <x:v>75900</x:v>
      </x:c>
      <x:c r="BE50" s="38">
        <x:f t="shared" si="14"/>
        <x:v>101200</x:v>
      </x:c>
      <x:c r="BF50" s="236">
        <x:f t="shared" si="15"/>
        <x:v>126500</x:v>
      </x:c>
      <x:c r="BG50" s="12"/>
    </x:row>
    <x:row r="51" spans="1:59">
      <x:c r="A51" s="12"/>
      <x:c r="B51" s="37" t="s">
        <x:v>64</x:v>
      </x:c>
      <x:c r="C51" s="229" t="s">
        <x:v>0</x:v>
      </x:c>
      <x:c r="D51" s="229"/>
      <x:c r="E51" s="230"/>
      <x:c r="F51" s="37">
        <x:v>118</x:v>
      </x:c>
      <x:c r="G51" s="229">
        <x:v>73</x:v>
      </x:c>
      <x:c r="H51" s="229"/>
      <x:c r="I51" s="229"/>
      <x:c r="J51" s="229">
        <x:f t="shared" si="0"/>
        <x:v>191</x:v>
      </x:c>
      <x:c r="K51" s="107">
        <x:f t="shared" si="16"/>
        <x:v>2041000</x:v>
      </x:c>
      <x:c r="L51" s="107">
        <x:f t="shared" si="41"/>
        <x:v>1264000</x:v>
      </x:c>
      <x:c r="M51" s="107"/>
      <x:c r="N51" s="107"/>
      <x:c r="O51" s="231">
        <x:f t="shared" si="17"/>
        <x:v>3305000</x:v>
      </x:c>
      <x:c r="P51" s="37">
        <x:f t="shared" si="18"/>
        <x:v>191</x:v>
      </x:c>
      <x:c r="Q51" s="107">
        <x:f t="shared" si="19"/>
        <x:v>3305000</x:v>
      </x:c>
      <x:c r="R51" s="229">
        <x:f t="shared" si="26"/>
        <x:v>169</x:v>
      </x:c>
      <x:c r="S51" s="107">
        <x:f t="shared" si="20"/>
        <x:v>2926000</x:v>
      </x:c>
      <x:c r="T51" s="232">
        <x:f t="shared" si="1"/>
        <x:v>1652500</x:v>
      </x:c>
      <x:c r="U51" s="107">
        <x:f t="shared" si="2"/>
        <x:v>1652500</x:v>
      </x:c>
      <x:c r="V51" s="231">
        <x:f t="shared" si="3"/>
        <x:v>1463000</x:v>
      </x:c>
      <x:c r="W51" s="37" t="s">
        <x:v>60</x:v>
      </x:c>
      <x:c r="X51" s="107">
        <x:v>20000</x:v>
      </x:c>
      <x:c r="Y51" s="38">
        <x:f t="shared" si="21"/>
        <x:v>132200</x:v>
      </x:c>
      <x:c r="Z51" s="38">
        <x:f t="shared" si="22"/>
        <x:v>198300</x:v>
      </x:c>
      <x:c r="AA51" s="38">
        <x:f t="shared" si="23"/>
        <x:v>216200</x:v>
      </x:c>
      <x:c r="AB51" s="38">
        <x:f t="shared" si="24"/>
        <x:v>216200</x:v>
      </x:c>
      <x:c r="AC51" s="233" t="s">
        <x:v>60</x:v>
      </x:c>
      <x:c r="AD51" s="107">
        <x:v>20000</x:v>
      </x:c>
      <x:c r="AE51" s="38">
        <x:f t="shared" si="4"/>
        <x:v>132200</x:v>
      </x:c>
      <x:c r="AF51" s="38">
        <x:f t="shared" si="5"/>
        <x:v>198300</x:v>
      </x:c>
      <x:c r="AG51" s="38">
        <x:f t="shared" si="6"/>
        <x:v>216200</x:v>
      </x:c>
      <x:c r="AH51" s="38">
        <x:f t="shared" si="7"/>
        <x:v>216200</x:v>
      </x:c>
      <x:c r="AI51" s="234" t="s">
        <x:v>60</x:v>
      </x:c>
      <x:c r="AJ51" s="229" t="s">
        <x:v>60</x:v>
      </x:c>
      <x:c r="AK51" s="38">
        <x:f t="shared" si="8"/>
        <x:v>117000</x:v>
      </x:c>
      <x:c r="AL51" s="38">
        <x:f t="shared" si="9"/>
        <x:v>175500</x:v>
      </x:c>
      <x:c r="AM51" s="38">
        <x:f t="shared" si="10"/>
        <x:v>216200</x:v>
      </x:c>
      <x:c r="AN51" s="237">
        <x:f t="shared" si="11"/>
        <x:v>216200</x:v>
      </x:c>
      <x:c r="AO51" s="234" t="s">
        <x:v>60</x:v>
      </x:c>
      <x:c r="AP51" s="107">
        <x:v>20000</x:v>
      </x:c>
      <x:c r="AQ51" s="38">
        <x:f t="shared" si="28"/>
        <x:v>66100</x:v>
      </x:c>
      <x:c r="AR51" s="38">
        <x:f t="shared" si="29"/>
        <x:v>99100</x:v>
      </x:c>
      <x:c r="AS51" s="38">
        <x:f t="shared" si="30"/>
        <x:v>132200</x:v>
      </x:c>
      <x:c r="AT51" s="237">
        <x:f t="shared" si="31"/>
        <x:v>165200</x:v>
      </x:c>
      <x:c r="AU51" s="234" t="s">
        <x:v>60</x:v>
      </x:c>
      <x:c r="AV51" s="107">
        <x:v>20000</x:v>
      </x:c>
      <x:c r="AW51" s="38">
        <x:f t="shared" si="32"/>
        <x:v>66100</x:v>
      </x:c>
      <x:c r="AX51" s="38">
        <x:f t="shared" si="33"/>
        <x:v>99100</x:v>
      </x:c>
      <x:c r="AY51" s="38">
        <x:f t="shared" si="34"/>
        <x:v>132200</x:v>
      </x:c>
      <x:c r="AZ51" s="38">
        <x:f t="shared" si="35"/>
        <x:v>165200</x:v>
      </x:c>
      <x:c r="BA51" s="235" t="s">
        <x:v>60</x:v>
      </x:c>
      <x:c r="BB51" s="107" t="s">
        <x:v>60</x:v>
      </x:c>
      <x:c r="BC51" s="38">
        <x:f t="shared" si="12"/>
        <x:v>58500</x:v>
      </x:c>
      <x:c r="BD51" s="38">
        <x:f t="shared" si="13"/>
        <x:v>87700</x:v>
      </x:c>
      <x:c r="BE51" s="38">
        <x:f t="shared" si="14"/>
        <x:v>117000</x:v>
      </x:c>
      <x:c r="BF51" s="236">
        <x:f t="shared" si="15"/>
        <x:v>146300</x:v>
      </x:c>
      <x:c r="BG51" s="12"/>
    </x:row>
    <x:row r="52" spans="1:59">
      <x:c r="A52" s="12"/>
      <x:c r="B52" s="37" t="s">
        <x:v>64</x:v>
      </x:c>
      <x:c r="C52" s="229" t="s">
        <x:v>105</x:v>
      </x:c>
      <x:c r="D52" s="229"/>
      <x:c r="E52" s="230"/>
      <x:c r="F52" s="37">
        <x:v>118</x:v>
      </x:c>
      <x:c r="G52" s="229">
        <x:v>80</x:v>
      </x:c>
      <x:c r="H52" s="229"/>
      <x:c r="I52" s="229"/>
      <x:c r="J52" s="229">
        <x:f t="shared" si="0"/>
        <x:v>198</x:v>
      </x:c>
      <x:c r="K52" s="107">
        <x:f t="shared" si="16"/>
        <x:v>2041000</x:v>
      </x:c>
      <x:c r="L52" s="107">
        <x:f t="shared" si="41"/>
        <x:v>1385000</x:v>
      </x:c>
      <x:c r="M52" s="107"/>
      <x:c r="N52" s="107"/>
      <x:c r="O52" s="231">
        <x:f t="shared" si="17"/>
        <x:v>3426000</x:v>
      </x:c>
      <x:c r="P52" s="37">
        <x:f t="shared" si="18"/>
        <x:v>198</x:v>
      </x:c>
      <x:c r="Q52" s="107">
        <x:f t="shared" si="19"/>
        <x:v>3426000</x:v>
      </x:c>
      <x:c r="R52" s="229">
        <x:f t="shared" si="26"/>
        <x:v>176</x:v>
      </x:c>
      <x:c r="S52" s="107">
        <x:f t="shared" si="20"/>
        <x:v>3047000</x:v>
      </x:c>
      <x:c r="T52" s="232">
        <x:f t="shared" si="1"/>
        <x:v>1713000</x:v>
      </x:c>
      <x:c r="U52" s="107">
        <x:f t="shared" si="2"/>
        <x:v>1713000</x:v>
      </x:c>
      <x:c r="V52" s="231">
        <x:f t="shared" si="3"/>
        <x:v>1523500</x:v>
      </x:c>
      <x:c r="W52" s="37" t="s">
        <x:v>60</x:v>
      </x:c>
      <x:c r="X52" s="107">
        <x:v>20000</x:v>
      </x:c>
      <x:c r="Y52" s="38">
        <x:f t="shared" si="21"/>
        <x:v>137000</x:v>
      </x:c>
      <x:c r="Z52" s="38">
        <x:f t="shared" si="22"/>
        <x:v>205500</x:v>
      </x:c>
      <x:c r="AA52" s="38">
        <x:f t="shared" si="23"/>
        <x:v>216200</x:v>
      </x:c>
      <x:c r="AB52" s="38">
        <x:f t="shared" si="24"/>
        <x:v>216200</x:v>
      </x:c>
      <x:c r="AC52" s="233" t="s">
        <x:v>60</x:v>
      </x:c>
      <x:c r="AD52" s="107">
        <x:v>20000</x:v>
      </x:c>
      <x:c r="AE52" s="38">
        <x:f t="shared" si="4"/>
        <x:v>137000</x:v>
      </x:c>
      <x:c r="AF52" s="38">
        <x:f t="shared" si="5"/>
        <x:v>205500</x:v>
      </x:c>
      <x:c r="AG52" s="38">
        <x:f t="shared" si="6"/>
        <x:v>216200</x:v>
      </x:c>
      <x:c r="AH52" s="38">
        <x:f t="shared" si="7"/>
        <x:v>216200</x:v>
      </x:c>
      <x:c r="AI52" s="234" t="s">
        <x:v>60</x:v>
      </x:c>
      <x:c r="AJ52" s="229" t="s">
        <x:v>60</x:v>
      </x:c>
      <x:c r="AK52" s="38">
        <x:f t="shared" si="8"/>
        <x:v>121800</x:v>
      </x:c>
      <x:c r="AL52" s="38">
        <x:f t="shared" si="9"/>
        <x:v>182800</x:v>
      </x:c>
      <x:c r="AM52" s="38">
        <x:f t="shared" si="10"/>
        <x:v>216200</x:v>
      </x:c>
      <x:c r="AN52" s="237">
        <x:f t="shared" si="11"/>
        <x:v>216200</x:v>
      </x:c>
      <x:c r="AO52" s="234" t="s">
        <x:v>60</x:v>
      </x:c>
      <x:c r="AP52" s="107">
        <x:v>20000</x:v>
      </x:c>
      <x:c r="AQ52" s="38">
        <x:f t="shared" si="28"/>
        <x:v>68500</x:v>
      </x:c>
      <x:c r="AR52" s="38">
        <x:f t="shared" si="29"/>
        <x:v>102700</x:v>
      </x:c>
      <x:c r="AS52" s="38">
        <x:f t="shared" si="30"/>
        <x:v>137000</x:v>
      </x:c>
      <x:c r="AT52" s="237">
        <x:f t="shared" si="31"/>
        <x:v>171300</x:v>
      </x:c>
      <x:c r="AU52" s="234" t="s">
        <x:v>60</x:v>
      </x:c>
      <x:c r="AV52" s="107">
        <x:v>20000</x:v>
      </x:c>
      <x:c r="AW52" s="38">
        <x:f t="shared" si="32"/>
        <x:v>68500</x:v>
      </x:c>
      <x:c r="AX52" s="38">
        <x:f t="shared" si="33"/>
        <x:v>102700</x:v>
      </x:c>
      <x:c r="AY52" s="38">
        <x:f t="shared" si="34"/>
        <x:v>137000</x:v>
      </x:c>
      <x:c r="AZ52" s="38">
        <x:f t="shared" si="35"/>
        <x:v>171300</x:v>
      </x:c>
      <x:c r="BA52" s="235" t="s">
        <x:v>60</x:v>
      </x:c>
      <x:c r="BB52" s="107" t="s">
        <x:v>60</x:v>
      </x:c>
      <x:c r="BC52" s="38">
        <x:f t="shared" si="12"/>
        <x:v>60900</x:v>
      </x:c>
      <x:c r="BD52" s="38">
        <x:f t="shared" si="13"/>
        <x:v>91400</x:v>
      </x:c>
      <x:c r="BE52" s="38">
        <x:f t="shared" si="14"/>
        <x:v>121800</x:v>
      </x:c>
      <x:c r="BF52" s="236">
        <x:f t="shared" si="15"/>
        <x:v>152300</x:v>
      </x:c>
      <x:c r="BG52" s="12"/>
    </x:row>
    <x:row r="53" spans="1:59">
      <x:c r="A53" s="12"/>
      <x:c r="B53" s="37" t="s">
        <x:v>64</x:v>
      </x:c>
      <x:c r="C53" s="229" t="s">
        <x:v>90</x:v>
      </x:c>
      <x:c r="D53" s="229"/>
      <x:c r="E53" s="230"/>
      <x:c r="F53" s="37">
        <x:v>118</x:v>
      </x:c>
      <x:c r="G53" s="229">
        <x:v>80</x:v>
      </x:c>
      <x:c r="H53" s="229"/>
      <x:c r="I53" s="229"/>
      <x:c r="J53" s="229">
        <x:f t="shared" si="0"/>
        <x:v>198</x:v>
      </x:c>
      <x:c r="K53" s="107">
        <x:f t="shared" si="16"/>
        <x:v>2041000</x:v>
      </x:c>
      <x:c r="L53" s="107">
        <x:f t="shared" si="41"/>
        <x:v>1385000</x:v>
      </x:c>
      <x:c r="M53" s="107"/>
      <x:c r="N53" s="107"/>
      <x:c r="O53" s="231">
        <x:f t="shared" si="17"/>
        <x:v>3426000</x:v>
      </x:c>
      <x:c r="P53" s="37">
        <x:f t="shared" si="18"/>
        <x:v>198</x:v>
      </x:c>
      <x:c r="Q53" s="107">
        <x:f t="shared" si="19"/>
        <x:v>3426000</x:v>
      </x:c>
      <x:c r="R53" s="229">
        <x:f t="shared" si="26"/>
        <x:v>176</x:v>
      </x:c>
      <x:c r="S53" s="107">
        <x:f t="shared" si="20"/>
        <x:v>3047000</x:v>
      </x:c>
      <x:c r="T53" s="232">
        <x:f t="shared" si="1"/>
        <x:v>1713000</x:v>
      </x:c>
      <x:c r="U53" s="107">
        <x:f t="shared" si="2"/>
        <x:v>1713000</x:v>
      </x:c>
      <x:c r="V53" s="231">
        <x:f t="shared" si="3"/>
        <x:v>1523500</x:v>
      </x:c>
      <x:c r="W53" s="37" t="s">
        <x:v>60</x:v>
      </x:c>
      <x:c r="X53" s="107">
        <x:v>20000</x:v>
      </x:c>
      <x:c r="Y53" s="38">
        <x:f t="shared" si="21"/>
        <x:v>137000</x:v>
      </x:c>
      <x:c r="Z53" s="38">
        <x:f t="shared" si="22"/>
        <x:v>205500</x:v>
      </x:c>
      <x:c r="AA53" s="38">
        <x:f t="shared" si="23"/>
        <x:v>216200</x:v>
      </x:c>
      <x:c r="AB53" s="38">
        <x:f t="shared" si="24"/>
        <x:v>216200</x:v>
      </x:c>
      <x:c r="AC53" s="233" t="s">
        <x:v>60</x:v>
      </x:c>
      <x:c r="AD53" s="107">
        <x:v>20000</x:v>
      </x:c>
      <x:c r="AE53" s="38">
        <x:f t="shared" si="4"/>
        <x:v>137000</x:v>
      </x:c>
      <x:c r="AF53" s="38">
        <x:f t="shared" si="5"/>
        <x:v>205500</x:v>
      </x:c>
      <x:c r="AG53" s="38">
        <x:f t="shared" si="6"/>
        <x:v>216200</x:v>
      </x:c>
      <x:c r="AH53" s="38">
        <x:f t="shared" si="7"/>
        <x:v>216200</x:v>
      </x:c>
      <x:c r="AI53" s="234" t="s">
        <x:v>60</x:v>
      </x:c>
      <x:c r="AJ53" s="229" t="s">
        <x:v>60</x:v>
      </x:c>
      <x:c r="AK53" s="38">
        <x:f t="shared" si="8"/>
        <x:v>121800</x:v>
      </x:c>
      <x:c r="AL53" s="38">
        <x:f t="shared" si="9"/>
        <x:v>182800</x:v>
      </x:c>
      <x:c r="AM53" s="38">
        <x:f t="shared" si="10"/>
        <x:v>216200</x:v>
      </x:c>
      <x:c r="AN53" s="237">
        <x:f t="shared" si="11"/>
        <x:v>216200</x:v>
      </x:c>
      <x:c r="AO53" s="234" t="s">
        <x:v>60</x:v>
      </x:c>
      <x:c r="AP53" s="107">
        <x:v>20000</x:v>
      </x:c>
      <x:c r="AQ53" s="38">
        <x:f t="shared" si="28"/>
        <x:v>68500</x:v>
      </x:c>
      <x:c r="AR53" s="38">
        <x:f t="shared" si="29"/>
        <x:v>102700</x:v>
      </x:c>
      <x:c r="AS53" s="38">
        <x:f t="shared" si="30"/>
        <x:v>137000</x:v>
      </x:c>
      <x:c r="AT53" s="237">
        <x:f t="shared" si="31"/>
        <x:v>171300</x:v>
      </x:c>
      <x:c r="AU53" s="234" t="s">
        <x:v>60</x:v>
      </x:c>
      <x:c r="AV53" s="107">
        <x:v>20000</x:v>
      </x:c>
      <x:c r="AW53" s="38">
        <x:f t="shared" si="32"/>
        <x:v>68500</x:v>
      </x:c>
      <x:c r="AX53" s="38">
        <x:f t="shared" si="33"/>
        <x:v>102700</x:v>
      </x:c>
      <x:c r="AY53" s="38">
        <x:f t="shared" si="34"/>
        <x:v>137000</x:v>
      </x:c>
      <x:c r="AZ53" s="38">
        <x:f t="shared" si="35"/>
        <x:v>171300</x:v>
      </x:c>
      <x:c r="BA53" s="235" t="s">
        <x:v>60</x:v>
      </x:c>
      <x:c r="BB53" s="107" t="s">
        <x:v>60</x:v>
      </x:c>
      <x:c r="BC53" s="38">
        <x:f t="shared" si="12"/>
        <x:v>60900</x:v>
      </x:c>
      <x:c r="BD53" s="38">
        <x:f t="shared" si="13"/>
        <x:v>91400</x:v>
      </x:c>
      <x:c r="BE53" s="38">
        <x:f t="shared" si="14"/>
        <x:v>121800</x:v>
      </x:c>
      <x:c r="BF53" s="236">
        <x:f t="shared" si="15"/>
        <x:v>152300</x:v>
      </x:c>
      <x:c r="BG53" s="12"/>
    </x:row>
    <x:row r="54" spans="1:59">
      <x:c r="A54" s="12"/>
      <x:c r="B54" s="37" t="s">
        <x:v>64</x:v>
      </x:c>
      <x:c r="C54" s="229" t="s">
        <x:v>0</x:v>
      </x:c>
      <x:c r="D54" s="229" t="s">
        <x:v>6</x:v>
      </x:c>
      <x:c r="E54" s="230"/>
      <x:c r="F54" s="37">
        <x:v>118</x:v>
      </x:c>
      <x:c r="G54" s="229">
        <x:v>73</x:v>
      </x:c>
      <x:c r="H54" s="229">
        <x:v>10</x:v>
      </x:c>
      <x:c r="I54" s="229"/>
      <x:c r="J54" s="229">
        <x:f t="shared" si="0"/>
        <x:v>201</x:v>
      </x:c>
      <x:c r="K54" s="107">
        <x:f t="shared" si="16"/>
        <x:v>2041000</x:v>
      </x:c>
      <x:c r="L54" s="107">
        <x:f t="shared" si="41"/>
        <x:v>1264000</x:v>
      </x:c>
      <x:c r="M54" s="107">
        <x:f t="shared" ref="M54:M56" si="48">HLOOKUP($M$10,$I$1:$T$2,2,FALSE)</x:f>
        <x:v>175000</x:v>
      </x:c>
      <x:c r="N54" s="107"/>
      <x:c r="O54" s="231">
        <x:f t="shared" si="17"/>
        <x:v>3480000</x:v>
      </x:c>
      <x:c r="P54" s="37">
        <x:f t="shared" si="18"/>
        <x:v>201</x:v>
      </x:c>
      <x:c r="Q54" s="107">
        <x:f t="shared" si="19"/>
        <x:v>3480000</x:v>
      </x:c>
      <x:c r="R54" s="229">
        <x:f t="shared" si="26"/>
        <x:v>179</x:v>
      </x:c>
      <x:c r="S54" s="107">
        <x:f t="shared" si="20"/>
        <x:v>3101000</x:v>
      </x:c>
      <x:c r="T54" s="232">
        <x:f t="shared" si="1"/>
        <x:v>1740000</x:v>
      </x:c>
      <x:c r="U54" s="107">
        <x:f t="shared" si="2"/>
        <x:v>1740000</x:v>
      </x:c>
      <x:c r="V54" s="231">
        <x:f t="shared" si="3"/>
        <x:v>1550500</x:v>
      </x:c>
      <x:c r="W54" s="37" t="s">
        <x:v>60</x:v>
      </x:c>
      <x:c r="X54" s="107">
        <x:v>20000</x:v>
      </x:c>
      <x:c r="Y54" s="38">
        <x:f t="shared" si="21"/>
        <x:v>139200</x:v>
      </x:c>
      <x:c r="Z54" s="38">
        <x:f t="shared" si="22"/>
        <x:v>208800</x:v>
      </x:c>
      <x:c r="AA54" s="38">
        <x:f t="shared" si="23"/>
        <x:v>216200</x:v>
      </x:c>
      <x:c r="AB54" s="38">
        <x:f t="shared" si="24"/>
        <x:v>216200</x:v>
      </x:c>
      <x:c r="AC54" s="233" t="s">
        <x:v>60</x:v>
      </x:c>
      <x:c r="AD54" s="107">
        <x:v>20000</x:v>
      </x:c>
      <x:c r="AE54" s="38">
        <x:f t="shared" si="4"/>
        <x:v>139200</x:v>
      </x:c>
      <x:c r="AF54" s="38">
        <x:f t="shared" si="5"/>
        <x:v>208800</x:v>
      </x:c>
      <x:c r="AG54" s="38">
        <x:f t="shared" si="6"/>
        <x:v>216200</x:v>
      </x:c>
      <x:c r="AH54" s="38">
        <x:f t="shared" si="7"/>
        <x:v>216200</x:v>
      </x:c>
      <x:c r="AI54" s="234" t="s">
        <x:v>60</x:v>
      </x:c>
      <x:c r="AJ54" s="229" t="s">
        <x:v>60</x:v>
      </x:c>
      <x:c r="AK54" s="38">
        <x:f t="shared" si="8"/>
        <x:v>124000</x:v>
      </x:c>
      <x:c r="AL54" s="38">
        <x:f t="shared" si="9"/>
        <x:v>186000</x:v>
      </x:c>
      <x:c r="AM54" s="38">
        <x:f t="shared" si="10"/>
        <x:v>216200</x:v>
      </x:c>
      <x:c r="AN54" s="237">
        <x:f t="shared" si="11"/>
        <x:v>216200</x:v>
      </x:c>
      <x:c r="AO54" s="234" t="s">
        <x:v>60</x:v>
      </x:c>
      <x:c r="AP54" s="107">
        <x:v>20000</x:v>
      </x:c>
      <x:c r="AQ54" s="38">
        <x:f t="shared" si="28"/>
        <x:v>69600</x:v>
      </x:c>
      <x:c r="AR54" s="38">
        <x:f t="shared" si="29"/>
        <x:v>104400</x:v>
      </x:c>
      <x:c r="AS54" s="38">
        <x:f t="shared" si="30"/>
        <x:v>139200</x:v>
      </x:c>
      <x:c r="AT54" s="237">
        <x:f t="shared" si="31"/>
        <x:v>174000</x:v>
      </x:c>
      <x:c r="AU54" s="234" t="s">
        <x:v>60</x:v>
      </x:c>
      <x:c r="AV54" s="107">
        <x:v>20000</x:v>
      </x:c>
      <x:c r="AW54" s="38">
        <x:f t="shared" si="32"/>
        <x:v>69600</x:v>
      </x:c>
      <x:c r="AX54" s="38">
        <x:f t="shared" si="33"/>
        <x:v>104400</x:v>
      </x:c>
      <x:c r="AY54" s="38">
        <x:f t="shared" si="34"/>
        <x:v>139200</x:v>
      </x:c>
      <x:c r="AZ54" s="38">
        <x:f t="shared" si="35"/>
        <x:v>174000</x:v>
      </x:c>
      <x:c r="BA54" s="235" t="s">
        <x:v>60</x:v>
      </x:c>
      <x:c r="BB54" s="107" t="s">
        <x:v>60</x:v>
      </x:c>
      <x:c r="BC54" s="38">
        <x:f t="shared" si="12"/>
        <x:v>62000</x:v>
      </x:c>
      <x:c r="BD54" s="38">
        <x:f t="shared" si="13"/>
        <x:v>93000</x:v>
      </x:c>
      <x:c r="BE54" s="38">
        <x:f t="shared" si="14"/>
        <x:v>124000</x:v>
      </x:c>
      <x:c r="BF54" s="236">
        <x:f t="shared" si="15"/>
        <x:v>155000</x:v>
      </x:c>
      <x:c r="BG54" s="12"/>
    </x:row>
    <x:row r="55" spans="1:59">
      <x:c r="A55" s="12"/>
      <x:c r="B55" s="37" t="s">
        <x:v>64</x:v>
      </x:c>
      <x:c r="C55" s="229" t="s">
        <x:v>105</x:v>
      </x:c>
      <x:c r="D55" s="229" t="s">
        <x:v>6</x:v>
      </x:c>
      <x:c r="E55" s="230"/>
      <x:c r="F55" s="37">
        <x:v>118</x:v>
      </x:c>
      <x:c r="G55" s="229">
        <x:v>80</x:v>
      </x:c>
      <x:c r="H55" s="229">
        <x:v>10</x:v>
      </x:c>
      <x:c r="I55" s="229"/>
      <x:c r="J55" s="229">
        <x:f t="shared" si="0"/>
        <x:v>208</x:v>
      </x:c>
      <x:c r="K55" s="107">
        <x:f t="shared" si="16"/>
        <x:v>2041000</x:v>
      </x:c>
      <x:c r="L55" s="107">
        <x:f t="shared" si="41"/>
        <x:v>1385000</x:v>
      </x:c>
      <x:c r="M55" s="107">
        <x:f t="shared" si="48"/>
        <x:v>175000</x:v>
      </x:c>
      <x:c r="N55" s="107"/>
      <x:c r="O55" s="231">
        <x:f t="shared" si="17"/>
        <x:v>3601000</x:v>
      </x:c>
      <x:c r="P55" s="37">
        <x:f t="shared" si="18"/>
        <x:v>208</x:v>
      </x:c>
      <x:c r="Q55" s="107">
        <x:f t="shared" si="19"/>
        <x:v>3601000</x:v>
      </x:c>
      <x:c r="R55" s="229">
        <x:f t="shared" si="26"/>
        <x:v>186</x:v>
      </x:c>
      <x:c r="S55" s="107">
        <x:f t="shared" si="20"/>
        <x:v>3222000</x:v>
      </x:c>
      <x:c r="T55" s="232">
        <x:f t="shared" si="1"/>
        <x:v>1800500</x:v>
      </x:c>
      <x:c r="U55" s="107">
        <x:f t="shared" si="2"/>
        <x:v>1800500</x:v>
      </x:c>
      <x:c r="V55" s="231">
        <x:f t="shared" si="3"/>
        <x:v>1611000</x:v>
      </x:c>
      <x:c r="W55" s="37" t="s">
        <x:v>60</x:v>
      </x:c>
      <x:c r="X55" s="107">
        <x:v>20000</x:v>
      </x:c>
      <x:c r="Y55" s="38">
        <x:f t="shared" si="21"/>
        <x:v>144000</x:v>
      </x:c>
      <x:c r="Z55" s="38">
        <x:f t="shared" si="22"/>
        <x:v>216000</x:v>
      </x:c>
      <x:c r="AA55" s="38">
        <x:f t="shared" si="23"/>
        <x:v>216200</x:v>
      </x:c>
      <x:c r="AB55" s="38">
        <x:f t="shared" si="24"/>
        <x:v>216200</x:v>
      </x:c>
      <x:c r="AC55" s="233" t="s">
        <x:v>60</x:v>
      </x:c>
      <x:c r="AD55" s="107">
        <x:v>20000</x:v>
      </x:c>
      <x:c r="AE55" s="38">
        <x:f t="shared" si="4"/>
        <x:v>144000</x:v>
      </x:c>
      <x:c r="AF55" s="38">
        <x:f t="shared" si="5"/>
        <x:v>216000</x:v>
      </x:c>
      <x:c r="AG55" s="38">
        <x:f t="shared" si="6"/>
        <x:v>216200</x:v>
      </x:c>
      <x:c r="AH55" s="38">
        <x:f t="shared" si="7"/>
        <x:v>216200</x:v>
      </x:c>
      <x:c r="AI55" s="234" t="s">
        <x:v>60</x:v>
      </x:c>
      <x:c r="AJ55" s="229" t="s">
        <x:v>60</x:v>
      </x:c>
      <x:c r="AK55" s="38">
        <x:f t="shared" si="8"/>
        <x:v>128800</x:v>
      </x:c>
      <x:c r="AL55" s="38">
        <x:f t="shared" si="9"/>
        <x:v>193300</x:v>
      </x:c>
      <x:c r="AM55" s="38">
        <x:f t="shared" si="10"/>
        <x:v>216200</x:v>
      </x:c>
      <x:c r="AN55" s="237">
        <x:f t="shared" si="11"/>
        <x:v>216200</x:v>
      </x:c>
      <x:c r="AO55" s="234" t="s">
        <x:v>60</x:v>
      </x:c>
      <x:c r="AP55" s="107">
        <x:v>20000</x:v>
      </x:c>
      <x:c r="AQ55" s="38">
        <x:f t="shared" si="28"/>
        <x:v>72000</x:v>
      </x:c>
      <x:c r="AR55" s="38">
        <x:f t="shared" si="29"/>
        <x:v>108000</x:v>
      </x:c>
      <x:c r="AS55" s="38">
        <x:f t="shared" si="30"/>
        <x:v>144000</x:v>
      </x:c>
      <x:c r="AT55" s="237">
        <x:f t="shared" si="31"/>
        <x:v>180000</x:v>
      </x:c>
      <x:c r="AU55" s="234" t="s">
        <x:v>60</x:v>
      </x:c>
      <x:c r="AV55" s="107">
        <x:v>20000</x:v>
      </x:c>
      <x:c r="AW55" s="38">
        <x:f t="shared" si="32"/>
        <x:v>72000</x:v>
      </x:c>
      <x:c r="AX55" s="38">
        <x:f t="shared" si="33"/>
        <x:v>108000</x:v>
      </x:c>
      <x:c r="AY55" s="38">
        <x:f t="shared" si="34"/>
        <x:v>144000</x:v>
      </x:c>
      <x:c r="AZ55" s="38">
        <x:f t="shared" si="35"/>
        <x:v>180000</x:v>
      </x:c>
      <x:c r="BA55" s="235" t="s">
        <x:v>60</x:v>
      </x:c>
      <x:c r="BB55" s="107" t="s">
        <x:v>60</x:v>
      </x:c>
      <x:c r="BC55" s="38">
        <x:f t="shared" si="12"/>
        <x:v>64400</x:v>
      </x:c>
      <x:c r="BD55" s="38">
        <x:f t="shared" si="13"/>
        <x:v>96600</x:v>
      </x:c>
      <x:c r="BE55" s="38">
        <x:f t="shared" si="14"/>
        <x:v>128800</x:v>
      </x:c>
      <x:c r="BF55" s="236">
        <x:f t="shared" si="15"/>
        <x:v>161100</x:v>
      </x:c>
      <x:c r="BG55" s="12"/>
    </x:row>
    <x:row r="56" spans="1:59">
      <x:c r="A56" s="12"/>
      <x:c r="B56" s="37" t="s">
        <x:v>64</x:v>
      </x:c>
      <x:c r="C56" s="229" t="s">
        <x:v>90</x:v>
      </x:c>
      <x:c r="D56" s="229" t="s">
        <x:v>6</x:v>
      </x:c>
      <x:c r="E56" s="230"/>
      <x:c r="F56" s="37">
        <x:v>118</x:v>
      </x:c>
      <x:c r="G56" s="229">
        <x:v>80</x:v>
      </x:c>
      <x:c r="H56" s="229">
        <x:v>10</x:v>
      </x:c>
      <x:c r="I56" s="229"/>
      <x:c r="J56" s="229">
        <x:f t="shared" si="0"/>
        <x:v>208</x:v>
      </x:c>
      <x:c r="K56" s="107">
        <x:f t="shared" si="16"/>
        <x:v>2041000</x:v>
      </x:c>
      <x:c r="L56" s="107">
        <x:f t="shared" si="41"/>
        <x:v>1385000</x:v>
      </x:c>
      <x:c r="M56" s="107">
        <x:f t="shared" si="48"/>
        <x:v>175000</x:v>
      </x:c>
      <x:c r="N56" s="107"/>
      <x:c r="O56" s="231">
        <x:f t="shared" si="17"/>
        <x:v>3601000</x:v>
      </x:c>
      <x:c r="P56" s="37">
        <x:f t="shared" si="18"/>
        <x:v>208</x:v>
      </x:c>
      <x:c r="Q56" s="107">
        <x:f t="shared" si="19"/>
        <x:v>3601000</x:v>
      </x:c>
      <x:c r="R56" s="229">
        <x:f t="shared" si="26"/>
        <x:v>186</x:v>
      </x:c>
      <x:c r="S56" s="107">
        <x:f t="shared" si="20"/>
        <x:v>3222000</x:v>
      </x:c>
      <x:c r="T56" s="232">
        <x:f t="shared" si="1"/>
        <x:v>1800500</x:v>
      </x:c>
      <x:c r="U56" s="107">
        <x:f t="shared" si="2"/>
        <x:v>1800500</x:v>
      </x:c>
      <x:c r="V56" s="231">
        <x:f t="shared" si="3"/>
        <x:v>1611000</x:v>
      </x:c>
      <x:c r="W56" s="37" t="s">
        <x:v>60</x:v>
      </x:c>
      <x:c r="X56" s="107">
        <x:v>20000</x:v>
      </x:c>
      <x:c r="Y56" s="38">
        <x:f t="shared" si="21"/>
        <x:v>144000</x:v>
      </x:c>
      <x:c r="Z56" s="38">
        <x:f t="shared" si="22"/>
        <x:v>216000</x:v>
      </x:c>
      <x:c r="AA56" s="38">
        <x:f t="shared" si="23"/>
        <x:v>216200</x:v>
      </x:c>
      <x:c r="AB56" s="38">
        <x:f t="shared" si="24"/>
        <x:v>216200</x:v>
      </x:c>
      <x:c r="AC56" s="233" t="s">
        <x:v>60</x:v>
      </x:c>
      <x:c r="AD56" s="107">
        <x:v>20000</x:v>
      </x:c>
      <x:c r="AE56" s="38">
        <x:f t="shared" si="4"/>
        <x:v>144000</x:v>
      </x:c>
      <x:c r="AF56" s="38">
        <x:f t="shared" si="5"/>
        <x:v>216000</x:v>
      </x:c>
      <x:c r="AG56" s="38">
        <x:f t="shared" si="6"/>
        <x:v>216200</x:v>
      </x:c>
      <x:c r="AH56" s="38">
        <x:f t="shared" si="7"/>
        <x:v>216200</x:v>
      </x:c>
      <x:c r="AI56" s="234" t="s">
        <x:v>60</x:v>
      </x:c>
      <x:c r="AJ56" s="229" t="s">
        <x:v>60</x:v>
      </x:c>
      <x:c r="AK56" s="38">
        <x:f t="shared" si="8"/>
        <x:v>128800</x:v>
      </x:c>
      <x:c r="AL56" s="38">
        <x:f t="shared" si="9"/>
        <x:v>193300</x:v>
      </x:c>
      <x:c r="AM56" s="38">
        <x:f t="shared" si="10"/>
        <x:v>216200</x:v>
      </x:c>
      <x:c r="AN56" s="237">
        <x:f t="shared" si="11"/>
        <x:v>216200</x:v>
      </x:c>
      <x:c r="AO56" s="234" t="s">
        <x:v>60</x:v>
      </x:c>
      <x:c r="AP56" s="107">
        <x:v>20000</x:v>
      </x:c>
      <x:c r="AQ56" s="38">
        <x:f t="shared" si="28"/>
        <x:v>72000</x:v>
      </x:c>
      <x:c r="AR56" s="38">
        <x:f t="shared" si="29"/>
        <x:v>108000</x:v>
      </x:c>
      <x:c r="AS56" s="38">
        <x:f t="shared" si="30"/>
        <x:v>144000</x:v>
      </x:c>
      <x:c r="AT56" s="237">
        <x:f t="shared" si="31"/>
        <x:v>180000</x:v>
      </x:c>
      <x:c r="AU56" s="234" t="s">
        <x:v>60</x:v>
      </x:c>
      <x:c r="AV56" s="107">
        <x:v>20000</x:v>
      </x:c>
      <x:c r="AW56" s="38">
        <x:f t="shared" si="32"/>
        <x:v>72000</x:v>
      </x:c>
      <x:c r="AX56" s="38">
        <x:f t="shared" si="33"/>
        <x:v>108000</x:v>
      </x:c>
      <x:c r="AY56" s="38">
        <x:f t="shared" si="34"/>
        <x:v>144000</x:v>
      </x:c>
      <x:c r="AZ56" s="38">
        <x:f t="shared" si="35"/>
        <x:v>180000</x:v>
      </x:c>
      <x:c r="BA56" s="235" t="s">
        <x:v>60</x:v>
      </x:c>
      <x:c r="BB56" s="107" t="s">
        <x:v>60</x:v>
      </x:c>
      <x:c r="BC56" s="38">
        <x:f t="shared" si="12"/>
        <x:v>64400</x:v>
      </x:c>
      <x:c r="BD56" s="38">
        <x:f t="shared" si="13"/>
        <x:v>96600</x:v>
      </x:c>
      <x:c r="BE56" s="38">
        <x:f t="shared" si="14"/>
        <x:v>128800</x:v>
      </x:c>
      <x:c r="BF56" s="236">
        <x:f t="shared" si="15"/>
        <x:v>161100</x:v>
      </x:c>
      <x:c r="BG56" s="12"/>
    </x:row>
    <x:row r="57" spans="1:59">
      <x:c r="A57" s="12"/>
      <x:c r="B57" s="37" t="s">
        <x:v>64</x:v>
      </x:c>
      <x:c r="C57" s="229" t="s">
        <x:v>0</x:v>
      </x:c>
      <x:c r="D57" s="229"/>
      <x:c r="E57" s="230" t="s">
        <x:v>6</x:v>
      </x:c>
      <x:c r="F57" s="37">
        <x:v>118</x:v>
      </x:c>
      <x:c r="G57" s="229">
        <x:v>73</x:v>
      </x:c>
      <x:c r="H57" s="229"/>
      <x:c r="I57" s="229">
        <x:v>40</x:v>
      </x:c>
      <x:c r="J57" s="229">
        <x:f t="shared" si="0"/>
        <x:v>231</x:v>
      </x:c>
      <x:c r="K57" s="107">
        <x:f t="shared" si="16"/>
        <x:v>2041000</x:v>
      </x:c>
      <x:c r="L57" s="107">
        <x:f t="shared" si="41"/>
        <x:v>1264000</x:v>
      </x:c>
      <x:c r="M57" s="107"/>
      <x:c r="N57" s="107">
        <x:f t="shared" ref="N57:N62" si="49">HLOOKUP($N$10,$I$1:$T$2,2,FALSE)</x:f>
        <x:v>694000</x:v>
      </x:c>
      <x:c r="O57" s="231">
        <x:f t="shared" si="17"/>
        <x:v>3999000</x:v>
      </x:c>
      <x:c r="P57" s="37">
        <x:f t="shared" si="18"/>
        <x:v>231</x:v>
      </x:c>
      <x:c r="Q57" s="107">
        <x:f t="shared" si="19"/>
        <x:v>3999000</x:v>
      </x:c>
      <x:c r="R57" s="229">
        <x:f t="shared" si="26"/>
        <x:v>209</x:v>
      </x:c>
      <x:c r="S57" s="107">
        <x:f t="shared" si="20"/>
        <x:v>3620000</x:v>
      </x:c>
      <x:c r="T57" s="232">
        <x:f t="shared" si="1"/>
        <x:v>1999500</x:v>
      </x:c>
      <x:c r="U57" s="107">
        <x:f t="shared" si="2"/>
        <x:v>1999500</x:v>
      </x:c>
      <x:c r="V57" s="231">
        <x:f t="shared" si="3"/>
        <x:v>1810000</x:v>
      </x:c>
      <x:c r="W57" s="37" t="s">
        <x:v>60</x:v>
      </x:c>
      <x:c r="X57" s="107">
        <x:v>20000</x:v>
      </x:c>
      <x:c r="Y57" s="38">
        <x:f t="shared" si="21"/>
        <x:v>159900</x:v>
      </x:c>
      <x:c r="Z57" s="38">
        <x:f t="shared" si="22"/>
        <x:v>216200</x:v>
      </x:c>
      <x:c r="AA57" s="38">
        <x:f t="shared" si="23"/>
        <x:v>216200</x:v>
      </x:c>
      <x:c r="AB57" s="38">
        <x:f t="shared" si="24"/>
        <x:v>216200</x:v>
      </x:c>
      <x:c r="AC57" s="233" t="s">
        <x:v>60</x:v>
      </x:c>
      <x:c r="AD57" s="107">
        <x:v>20000</x:v>
      </x:c>
      <x:c r="AE57" s="38">
        <x:f t="shared" si="4"/>
        <x:v>159900</x:v>
      </x:c>
      <x:c r="AF57" s="38">
        <x:f t="shared" si="5"/>
        <x:v>216200</x:v>
      </x:c>
      <x:c r="AG57" s="38">
        <x:f t="shared" si="6"/>
        <x:v>216200</x:v>
      </x:c>
      <x:c r="AH57" s="38">
        <x:f t="shared" si="7"/>
        <x:v>216200</x:v>
      </x:c>
      <x:c r="AI57" s="234" t="s">
        <x:v>60</x:v>
      </x:c>
      <x:c r="AJ57" s="229" t="s">
        <x:v>60</x:v>
      </x:c>
      <x:c r="AK57" s="38">
        <x:f t="shared" si="8"/>
        <x:v>144800</x:v>
      </x:c>
      <x:c r="AL57" s="38">
        <x:f t="shared" si="9"/>
        <x:v>216200</x:v>
      </x:c>
      <x:c r="AM57" s="38">
        <x:f t="shared" si="10"/>
        <x:v>216200</x:v>
      </x:c>
      <x:c r="AN57" s="237">
        <x:f t="shared" si="11"/>
        <x:v>216200</x:v>
      </x:c>
      <x:c r="AO57" s="234" t="s">
        <x:v>60</x:v>
      </x:c>
      <x:c r="AP57" s="107">
        <x:v>20000</x:v>
      </x:c>
      <x:c r="AQ57" s="38">
        <x:f t="shared" si="28"/>
        <x:v>79900</x:v>
      </x:c>
      <x:c r="AR57" s="38">
        <x:f t="shared" si="29"/>
        <x:v>119900</x:v>
      </x:c>
      <x:c r="AS57" s="38">
        <x:f t="shared" si="30"/>
        <x:v>159900</x:v>
      </x:c>
      <x:c r="AT57" s="237">
        <x:f t="shared" si="31"/>
        <x:v>199900</x:v>
      </x:c>
      <x:c r="AU57" s="234" t="s">
        <x:v>60</x:v>
      </x:c>
      <x:c r="AV57" s="107">
        <x:v>20000</x:v>
      </x:c>
      <x:c r="AW57" s="38">
        <x:f t="shared" si="32"/>
        <x:v>79900</x:v>
      </x:c>
      <x:c r="AX57" s="38">
        <x:f t="shared" si="33"/>
        <x:v>119900</x:v>
      </x:c>
      <x:c r="AY57" s="38">
        <x:f t="shared" si="34"/>
        <x:v>159900</x:v>
      </x:c>
      <x:c r="AZ57" s="38">
        <x:f t="shared" si="35"/>
        <x:v>199900</x:v>
      </x:c>
      <x:c r="BA57" s="235" t="s">
        <x:v>60</x:v>
      </x:c>
      <x:c r="BB57" s="107" t="s">
        <x:v>60</x:v>
      </x:c>
      <x:c r="BC57" s="38">
        <x:f t="shared" si="12"/>
        <x:v>72400</x:v>
      </x:c>
      <x:c r="BD57" s="38">
        <x:f t="shared" si="13"/>
        <x:v>108600</x:v>
      </x:c>
      <x:c r="BE57" s="38">
        <x:f t="shared" si="14"/>
        <x:v>144800</x:v>
      </x:c>
      <x:c r="BF57" s="236">
        <x:f t="shared" si="15"/>
        <x:v>181000</x:v>
      </x:c>
      <x:c r="BG57" s="12"/>
    </x:row>
    <x:row r="58" spans="1:59">
      <x:c r="A58" s="12"/>
      <x:c r="B58" s="37" t="s">
        <x:v>64</x:v>
      </x:c>
      <x:c r="C58" s="229" t="s">
        <x:v>105</x:v>
      </x:c>
      <x:c r="D58" s="229"/>
      <x:c r="E58" s="230" t="s">
        <x:v>6</x:v>
      </x:c>
      <x:c r="F58" s="37">
        <x:v>118</x:v>
      </x:c>
      <x:c r="G58" s="229">
        <x:v>80</x:v>
      </x:c>
      <x:c r="H58" s="229"/>
      <x:c r="I58" s="229">
        <x:v>40</x:v>
      </x:c>
      <x:c r="J58" s="229">
        <x:f t="shared" si="0"/>
        <x:v>238</x:v>
      </x:c>
      <x:c r="K58" s="107">
        <x:f t="shared" si="16"/>
        <x:v>2041000</x:v>
      </x:c>
      <x:c r="L58" s="107">
        <x:f t="shared" si="41"/>
        <x:v>1385000</x:v>
      </x:c>
      <x:c r="M58" s="107"/>
      <x:c r="N58" s="107">
        <x:f t="shared" si="49"/>
        <x:v>694000</x:v>
      </x:c>
      <x:c r="O58" s="231">
        <x:f t="shared" si="17"/>
        <x:v>4120000</x:v>
      </x:c>
      <x:c r="P58" s="37">
        <x:f t="shared" si="18"/>
        <x:v>238</x:v>
      </x:c>
      <x:c r="Q58" s="107">
        <x:f t="shared" si="19"/>
        <x:v>4120000</x:v>
      </x:c>
      <x:c r="R58" s="229">
        <x:f t="shared" si="26"/>
        <x:v>216</x:v>
      </x:c>
      <x:c r="S58" s="107">
        <x:f t="shared" si="20"/>
        <x:v>3741000</x:v>
      </x:c>
      <x:c r="T58" s="232">
        <x:f t="shared" si="1"/>
        <x:v>2060000</x:v>
      </x:c>
      <x:c r="U58" s="107">
        <x:f t="shared" si="2"/>
        <x:v>2060000</x:v>
      </x:c>
      <x:c r="V58" s="231">
        <x:f t="shared" si="3"/>
        <x:v>1870500</x:v>
      </x:c>
      <x:c r="W58" s="37" t="s">
        <x:v>60</x:v>
      </x:c>
      <x:c r="X58" s="107">
        <x:v>20000</x:v>
      </x:c>
      <x:c r="Y58" s="38">
        <x:f t="shared" si="21"/>
        <x:v>164800</x:v>
      </x:c>
      <x:c r="Z58" s="38">
        <x:f t="shared" si="22"/>
        <x:v>216200</x:v>
      </x:c>
      <x:c r="AA58" s="38">
        <x:f t="shared" si="23"/>
        <x:v>216200</x:v>
      </x:c>
      <x:c r="AB58" s="38">
        <x:f t="shared" si="24"/>
        <x:v>216200</x:v>
      </x:c>
      <x:c r="AC58" s="233" t="s">
        <x:v>60</x:v>
      </x:c>
      <x:c r="AD58" s="107">
        <x:v>20000</x:v>
      </x:c>
      <x:c r="AE58" s="38">
        <x:f t="shared" si="4"/>
        <x:v>164800</x:v>
      </x:c>
      <x:c r="AF58" s="38">
        <x:f t="shared" si="5"/>
        <x:v>216200</x:v>
      </x:c>
      <x:c r="AG58" s="38">
        <x:f t="shared" si="6"/>
        <x:v>216200</x:v>
      </x:c>
      <x:c r="AH58" s="38">
        <x:f t="shared" si="7"/>
        <x:v>216200</x:v>
      </x:c>
      <x:c r="AI58" s="234" t="s">
        <x:v>60</x:v>
      </x:c>
      <x:c r="AJ58" s="229" t="s">
        <x:v>60</x:v>
      </x:c>
      <x:c r="AK58" s="38">
        <x:f t="shared" si="8"/>
        <x:v>149600</x:v>
      </x:c>
      <x:c r="AL58" s="38">
        <x:f t="shared" si="9"/>
        <x:v>216200</x:v>
      </x:c>
      <x:c r="AM58" s="38">
        <x:f t="shared" si="10"/>
        <x:v>216200</x:v>
      </x:c>
      <x:c r="AN58" s="237">
        <x:f t="shared" si="11"/>
        <x:v>216200</x:v>
      </x:c>
      <x:c r="AO58" s="234" t="s">
        <x:v>60</x:v>
      </x:c>
      <x:c r="AP58" s="107">
        <x:v>20000</x:v>
      </x:c>
      <x:c r="AQ58" s="38">
        <x:f t="shared" si="28"/>
        <x:v>82400</x:v>
      </x:c>
      <x:c r="AR58" s="38">
        <x:f t="shared" si="29"/>
        <x:v>123600</x:v>
      </x:c>
      <x:c r="AS58" s="38">
        <x:f t="shared" si="30"/>
        <x:v>164800</x:v>
      </x:c>
      <x:c r="AT58" s="237">
        <x:f t="shared" si="31"/>
        <x:v>206000</x:v>
      </x:c>
      <x:c r="AU58" s="234" t="s">
        <x:v>60</x:v>
      </x:c>
      <x:c r="AV58" s="107">
        <x:v>20000</x:v>
      </x:c>
      <x:c r="AW58" s="38">
        <x:f t="shared" si="32"/>
        <x:v>82400</x:v>
      </x:c>
      <x:c r="AX58" s="38">
        <x:f t="shared" si="33"/>
        <x:v>123600</x:v>
      </x:c>
      <x:c r="AY58" s="38">
        <x:f t="shared" si="34"/>
        <x:v>164800</x:v>
      </x:c>
      <x:c r="AZ58" s="38">
        <x:f t="shared" si="35"/>
        <x:v>206000</x:v>
      </x:c>
      <x:c r="BA58" s="235" t="s">
        <x:v>60</x:v>
      </x:c>
      <x:c r="BB58" s="107" t="s">
        <x:v>60</x:v>
      </x:c>
      <x:c r="BC58" s="38">
        <x:f t="shared" si="12"/>
        <x:v>74800</x:v>
      </x:c>
      <x:c r="BD58" s="38">
        <x:f t="shared" si="13"/>
        <x:v>112200</x:v>
      </x:c>
      <x:c r="BE58" s="38">
        <x:f t="shared" si="14"/>
        <x:v>149600</x:v>
      </x:c>
      <x:c r="BF58" s="236">
        <x:f t="shared" si="15"/>
        <x:v>187000</x:v>
      </x:c>
      <x:c r="BG58" s="12"/>
    </x:row>
    <x:row r="59" spans="1:59">
      <x:c r="A59" s="22"/>
      <x:c r="B59" s="37" t="s">
        <x:v>64</x:v>
      </x:c>
      <x:c r="C59" s="229" t="s">
        <x:v>90</x:v>
      </x:c>
      <x:c r="D59" s="229"/>
      <x:c r="E59" s="230" t="s">
        <x:v>6</x:v>
      </x:c>
      <x:c r="F59" s="37">
        <x:v>118</x:v>
      </x:c>
      <x:c r="G59" s="229">
        <x:v>80</x:v>
      </x:c>
      <x:c r="H59" s="229"/>
      <x:c r="I59" s="229">
        <x:v>40</x:v>
      </x:c>
      <x:c r="J59" s="229">
        <x:f t="shared" si="0"/>
        <x:v>238</x:v>
      </x:c>
      <x:c r="K59" s="107">
        <x:f t="shared" si="16"/>
        <x:v>2041000</x:v>
      </x:c>
      <x:c r="L59" s="107">
        <x:f t="shared" si="41"/>
        <x:v>1385000</x:v>
      </x:c>
      <x:c r="M59" s="107"/>
      <x:c r="N59" s="107">
        <x:f t="shared" si="49"/>
        <x:v>694000</x:v>
      </x:c>
      <x:c r="O59" s="231">
        <x:f t="shared" si="17"/>
        <x:v>4120000</x:v>
      </x:c>
      <x:c r="P59" s="37">
        <x:f t="shared" si="18"/>
        <x:v>238</x:v>
      </x:c>
      <x:c r="Q59" s="107">
        <x:f t="shared" si="19"/>
        <x:v>4120000</x:v>
      </x:c>
      <x:c r="R59" s="229">
        <x:f t="shared" si="26"/>
        <x:v>216</x:v>
      </x:c>
      <x:c r="S59" s="107">
        <x:f t="shared" si="20"/>
        <x:v>3741000</x:v>
      </x:c>
      <x:c r="T59" s="232">
        <x:f t="shared" si="1"/>
        <x:v>2060000</x:v>
      </x:c>
      <x:c r="U59" s="107">
        <x:f t="shared" si="2"/>
        <x:v>2060000</x:v>
      </x:c>
      <x:c r="V59" s="231">
        <x:f t="shared" si="3"/>
        <x:v>1870500</x:v>
      </x:c>
      <x:c r="W59" s="37" t="s">
        <x:v>60</x:v>
      </x:c>
      <x:c r="X59" s="107">
        <x:v>20000</x:v>
      </x:c>
      <x:c r="Y59" s="38">
        <x:f t="shared" si="21"/>
        <x:v>164800</x:v>
      </x:c>
      <x:c r="Z59" s="38">
        <x:f t="shared" si="22"/>
        <x:v>216200</x:v>
      </x:c>
      <x:c r="AA59" s="38">
        <x:f t="shared" si="23"/>
        <x:v>216200</x:v>
      </x:c>
      <x:c r="AB59" s="38">
        <x:f t="shared" si="24"/>
        <x:v>216200</x:v>
      </x:c>
      <x:c r="AC59" s="233" t="s">
        <x:v>60</x:v>
      </x:c>
      <x:c r="AD59" s="107">
        <x:v>20000</x:v>
      </x:c>
      <x:c r="AE59" s="38">
        <x:f t="shared" si="4"/>
        <x:v>164800</x:v>
      </x:c>
      <x:c r="AF59" s="38">
        <x:f t="shared" si="5"/>
        <x:v>216200</x:v>
      </x:c>
      <x:c r="AG59" s="38">
        <x:f t="shared" si="6"/>
        <x:v>216200</x:v>
      </x:c>
      <x:c r="AH59" s="38">
        <x:f t="shared" si="7"/>
        <x:v>216200</x:v>
      </x:c>
      <x:c r="AI59" s="234" t="s">
        <x:v>60</x:v>
      </x:c>
      <x:c r="AJ59" s="229" t="s">
        <x:v>60</x:v>
      </x:c>
      <x:c r="AK59" s="38">
        <x:f t="shared" si="8"/>
        <x:v>149600</x:v>
      </x:c>
      <x:c r="AL59" s="38">
        <x:f t="shared" si="9"/>
        <x:v>216200</x:v>
      </x:c>
      <x:c r="AM59" s="38">
        <x:f t="shared" si="10"/>
        <x:v>216200</x:v>
      </x:c>
      <x:c r="AN59" s="237">
        <x:f t="shared" si="11"/>
        <x:v>216200</x:v>
      </x:c>
      <x:c r="AO59" s="234" t="s">
        <x:v>60</x:v>
      </x:c>
      <x:c r="AP59" s="107">
        <x:v>20000</x:v>
      </x:c>
      <x:c r="AQ59" s="38">
        <x:f t="shared" si="28"/>
        <x:v>82400</x:v>
      </x:c>
      <x:c r="AR59" s="38">
        <x:f t="shared" si="29"/>
        <x:v>123600</x:v>
      </x:c>
      <x:c r="AS59" s="38">
        <x:f t="shared" si="30"/>
        <x:v>164800</x:v>
      </x:c>
      <x:c r="AT59" s="237">
        <x:f t="shared" si="31"/>
        <x:v>206000</x:v>
      </x:c>
      <x:c r="AU59" s="234" t="s">
        <x:v>60</x:v>
      </x:c>
      <x:c r="AV59" s="107">
        <x:v>20000</x:v>
      </x:c>
      <x:c r="AW59" s="38">
        <x:f t="shared" si="32"/>
        <x:v>82400</x:v>
      </x:c>
      <x:c r="AX59" s="38">
        <x:f t="shared" si="33"/>
        <x:v>123600</x:v>
      </x:c>
      <x:c r="AY59" s="38">
        <x:f t="shared" si="34"/>
        <x:v>164800</x:v>
      </x:c>
      <x:c r="AZ59" s="38">
        <x:f t="shared" si="35"/>
        <x:v>206000</x:v>
      </x:c>
      <x:c r="BA59" s="235" t="s">
        <x:v>60</x:v>
      </x:c>
      <x:c r="BB59" s="107" t="s">
        <x:v>60</x:v>
      </x:c>
      <x:c r="BC59" s="38">
        <x:f t="shared" si="12"/>
        <x:v>74800</x:v>
      </x:c>
      <x:c r="BD59" s="38">
        <x:f t="shared" si="13"/>
        <x:v>112200</x:v>
      </x:c>
      <x:c r="BE59" s="38">
        <x:f t="shared" si="14"/>
        <x:v>149600</x:v>
      </x:c>
      <x:c r="BF59" s="236">
        <x:f t="shared" si="15"/>
        <x:v>187000</x:v>
      </x:c>
      <x:c r="BG59" s="22"/>
    </x:row>
    <x:row r="60" spans="1:59">
      <x:c r="A60" s="22"/>
      <x:c r="B60" s="37" t="s">
        <x:v>64</x:v>
      </x:c>
      <x:c r="C60" s="229" t="s">
        <x:v>0</x:v>
      </x:c>
      <x:c r="D60" s="229" t="s">
        <x:v>6</x:v>
      </x:c>
      <x:c r="E60" s="230" t="s">
        <x:v>6</x:v>
      </x:c>
      <x:c r="F60" s="37">
        <x:v>118</x:v>
      </x:c>
      <x:c r="G60" s="229">
        <x:v>73</x:v>
      </x:c>
      <x:c r="H60" s="229">
        <x:v>10</x:v>
      </x:c>
      <x:c r="I60" s="229">
        <x:v>40</x:v>
      </x:c>
      <x:c r="J60" s="229">
        <x:f t="shared" si="0"/>
        <x:v>241</x:v>
      </x:c>
      <x:c r="K60" s="107">
        <x:f t="shared" si="16"/>
        <x:v>2041000</x:v>
      </x:c>
      <x:c r="L60" s="107">
        <x:f t="shared" si="41"/>
        <x:v>1264000</x:v>
      </x:c>
      <x:c r="M60" s="107">
        <x:f t="shared" ref="M60:M62" si="50">HLOOKUP($M$10,$I$1:$T$2,2,FALSE)</x:f>
        <x:v>175000</x:v>
      </x:c>
      <x:c r="N60" s="107">
        <x:f t="shared" si="49"/>
        <x:v>694000</x:v>
      </x:c>
      <x:c r="O60" s="231">
        <x:f t="shared" si="17"/>
        <x:v>4174000</x:v>
      </x:c>
      <x:c r="P60" s="37">
        <x:f t="shared" si="18"/>
        <x:v>241</x:v>
      </x:c>
      <x:c r="Q60" s="107">
        <x:f t="shared" si="19"/>
        <x:v>4174000</x:v>
      </x:c>
      <x:c r="R60" s="229">
        <x:f t="shared" si="26"/>
        <x:v>219</x:v>
      </x:c>
      <x:c r="S60" s="107">
        <x:f t="shared" si="20"/>
        <x:v>3795000</x:v>
      </x:c>
      <x:c r="T60" s="232">
        <x:f t="shared" si="1"/>
        <x:v>2087000</x:v>
      </x:c>
      <x:c r="U60" s="107">
        <x:f t="shared" si="2"/>
        <x:v>2087000</x:v>
      </x:c>
      <x:c r="V60" s="231">
        <x:f t="shared" si="3"/>
        <x:v>1897500</x:v>
      </x:c>
      <x:c r="W60" s="37" t="s">
        <x:v>60</x:v>
      </x:c>
      <x:c r="X60" s="107">
        <x:v>20000</x:v>
      </x:c>
      <x:c r="Y60" s="38">
        <x:f t="shared" si="21"/>
        <x:v>166900</x:v>
      </x:c>
      <x:c r="Z60" s="38">
        <x:f t="shared" si="22"/>
        <x:v>216200</x:v>
      </x:c>
      <x:c r="AA60" s="38">
        <x:f t="shared" si="23"/>
        <x:v>216200</x:v>
      </x:c>
      <x:c r="AB60" s="38">
        <x:f t="shared" si="24"/>
        <x:v>216200</x:v>
      </x:c>
      <x:c r="AC60" s="233" t="s">
        <x:v>60</x:v>
      </x:c>
      <x:c r="AD60" s="107">
        <x:v>20000</x:v>
      </x:c>
      <x:c r="AE60" s="38">
        <x:f t="shared" si="4"/>
        <x:v>166900</x:v>
      </x:c>
      <x:c r="AF60" s="38">
        <x:f t="shared" si="5"/>
        <x:v>216200</x:v>
      </x:c>
      <x:c r="AG60" s="38">
        <x:f t="shared" si="6"/>
        <x:v>216200</x:v>
      </x:c>
      <x:c r="AH60" s="38">
        <x:f t="shared" si="7"/>
        <x:v>216200</x:v>
      </x:c>
      <x:c r="AI60" s="234" t="s">
        <x:v>60</x:v>
      </x:c>
      <x:c r="AJ60" s="229" t="s">
        <x:v>60</x:v>
      </x:c>
      <x:c r="AK60" s="38">
        <x:f t="shared" si="8"/>
        <x:v>151800</x:v>
      </x:c>
      <x:c r="AL60" s="38">
        <x:f t="shared" si="9"/>
        <x:v>216200</x:v>
      </x:c>
      <x:c r="AM60" s="38">
        <x:f t="shared" si="10"/>
        <x:v>216200</x:v>
      </x:c>
      <x:c r="AN60" s="237">
        <x:f t="shared" si="11"/>
        <x:v>216200</x:v>
      </x:c>
      <x:c r="AO60" s="234" t="s">
        <x:v>60</x:v>
      </x:c>
      <x:c r="AP60" s="107">
        <x:v>20000</x:v>
      </x:c>
      <x:c r="AQ60" s="38">
        <x:f t="shared" si="28"/>
        <x:v>83400</x:v>
      </x:c>
      <x:c r="AR60" s="38">
        <x:f t="shared" si="29"/>
        <x:v>125200</x:v>
      </x:c>
      <x:c r="AS60" s="38">
        <x:f t="shared" si="30"/>
        <x:v>166900</x:v>
      </x:c>
      <x:c r="AT60" s="237">
        <x:f t="shared" si="31"/>
        <x:v>208700</x:v>
      </x:c>
      <x:c r="AU60" s="234" t="s">
        <x:v>60</x:v>
      </x:c>
      <x:c r="AV60" s="107">
        <x:v>20000</x:v>
      </x:c>
      <x:c r="AW60" s="38">
        <x:f t="shared" si="32"/>
        <x:v>83400</x:v>
      </x:c>
      <x:c r="AX60" s="38">
        <x:f t="shared" si="33"/>
        <x:v>125200</x:v>
      </x:c>
      <x:c r="AY60" s="38">
        <x:f t="shared" si="34"/>
        <x:v>166900</x:v>
      </x:c>
      <x:c r="AZ60" s="38">
        <x:f t="shared" si="35"/>
        <x:v>208700</x:v>
      </x:c>
      <x:c r="BA60" s="235" t="s">
        <x:v>60</x:v>
      </x:c>
      <x:c r="BB60" s="107" t="s">
        <x:v>60</x:v>
      </x:c>
      <x:c r="BC60" s="38">
        <x:f t="shared" si="12"/>
        <x:v>75900</x:v>
      </x:c>
      <x:c r="BD60" s="38">
        <x:f t="shared" si="13"/>
        <x:v>113800</x:v>
      </x:c>
      <x:c r="BE60" s="38">
        <x:f t="shared" si="14"/>
        <x:v>151800</x:v>
      </x:c>
      <x:c r="BF60" s="236">
        <x:f t="shared" si="15"/>
        <x:v>189700</x:v>
      </x:c>
      <x:c r="BG60" s="22"/>
    </x:row>
    <x:row r="61" spans="1:59">
      <x:c r="A61" s="22"/>
      <x:c r="B61" s="37" t="s">
        <x:v>64</x:v>
      </x:c>
      <x:c r="C61" s="229" t="s">
        <x:v>105</x:v>
      </x:c>
      <x:c r="D61" s="229" t="s">
        <x:v>6</x:v>
      </x:c>
      <x:c r="E61" s="230" t="s">
        <x:v>6</x:v>
      </x:c>
      <x:c r="F61" s="37">
        <x:v>118</x:v>
      </x:c>
      <x:c r="G61" s="229">
        <x:v>80</x:v>
      </x:c>
      <x:c r="H61" s="229">
        <x:v>10</x:v>
      </x:c>
      <x:c r="I61" s="229">
        <x:v>40</x:v>
      </x:c>
      <x:c r="J61" s="229">
        <x:f t="shared" si="0"/>
        <x:v>248</x:v>
      </x:c>
      <x:c r="K61" s="107">
        <x:f t="shared" si="16"/>
        <x:v>2041000</x:v>
      </x:c>
      <x:c r="L61" s="107">
        <x:f t="shared" si="41"/>
        <x:v>1385000</x:v>
      </x:c>
      <x:c r="M61" s="107">
        <x:f t="shared" si="50"/>
        <x:v>175000</x:v>
      </x:c>
      <x:c r="N61" s="107">
        <x:f t="shared" si="49"/>
        <x:v>694000</x:v>
      </x:c>
      <x:c r="O61" s="231">
        <x:f t="shared" si="17"/>
        <x:v>4295000</x:v>
      </x:c>
      <x:c r="P61" s="37">
        <x:f t="shared" si="18"/>
        <x:v>248</x:v>
      </x:c>
      <x:c r="Q61" s="107">
        <x:f t="shared" si="19"/>
        <x:v>4295000</x:v>
      </x:c>
      <x:c r="R61" s="229">
        <x:f t="shared" si="26"/>
        <x:v>226</x:v>
      </x:c>
      <x:c r="S61" s="107">
        <x:f t="shared" si="20"/>
        <x:v>3916000</x:v>
      </x:c>
      <x:c r="T61" s="232">
        <x:f t="shared" si="1"/>
        <x:v>2147500</x:v>
      </x:c>
      <x:c r="U61" s="107">
        <x:f t="shared" si="2"/>
        <x:v>2147500</x:v>
      </x:c>
      <x:c r="V61" s="231">
        <x:f t="shared" si="3"/>
        <x:v>1958000</x:v>
      </x:c>
      <x:c r="W61" s="37" t="s">
        <x:v>60</x:v>
      </x:c>
      <x:c r="X61" s="107">
        <x:v>20000</x:v>
      </x:c>
      <x:c r="Y61" s="38">
        <x:f t="shared" si="21"/>
        <x:v>171800</x:v>
      </x:c>
      <x:c r="Z61" s="38">
        <x:f t="shared" si="22"/>
        <x:v>216200</x:v>
      </x:c>
      <x:c r="AA61" s="38">
        <x:f t="shared" si="23"/>
        <x:v>216200</x:v>
      </x:c>
      <x:c r="AB61" s="38">
        <x:f t="shared" si="24"/>
        <x:v>216200</x:v>
      </x:c>
      <x:c r="AC61" s="233" t="s">
        <x:v>60</x:v>
      </x:c>
      <x:c r="AD61" s="107">
        <x:v>20000</x:v>
      </x:c>
      <x:c r="AE61" s="38">
        <x:f t="shared" si="4"/>
        <x:v>171800</x:v>
      </x:c>
      <x:c r="AF61" s="38">
        <x:f t="shared" si="5"/>
        <x:v>216200</x:v>
      </x:c>
      <x:c r="AG61" s="38">
        <x:f t="shared" si="6"/>
        <x:v>216200</x:v>
      </x:c>
      <x:c r="AH61" s="38">
        <x:f t="shared" si="7"/>
        <x:v>216200</x:v>
      </x:c>
      <x:c r="AI61" s="234" t="s">
        <x:v>60</x:v>
      </x:c>
      <x:c r="AJ61" s="229" t="s">
        <x:v>60</x:v>
      </x:c>
      <x:c r="AK61" s="38">
        <x:f t="shared" si="8"/>
        <x:v>156600</x:v>
      </x:c>
      <x:c r="AL61" s="38">
        <x:f t="shared" si="9"/>
        <x:v>216200</x:v>
      </x:c>
      <x:c r="AM61" s="38">
        <x:f t="shared" si="10"/>
        <x:v>216200</x:v>
      </x:c>
      <x:c r="AN61" s="237">
        <x:f t="shared" si="11"/>
        <x:v>216200</x:v>
      </x:c>
      <x:c r="AO61" s="234" t="s">
        <x:v>60</x:v>
      </x:c>
      <x:c r="AP61" s="107">
        <x:v>20000</x:v>
      </x:c>
      <x:c r="AQ61" s="38">
        <x:f t="shared" si="28"/>
        <x:v>85900</x:v>
      </x:c>
      <x:c r="AR61" s="38">
        <x:f t="shared" si="29"/>
        <x:v>128800</x:v>
      </x:c>
      <x:c r="AS61" s="38">
        <x:f t="shared" si="30"/>
        <x:v>171800</x:v>
      </x:c>
      <x:c r="AT61" s="237">
        <x:f t="shared" si="31"/>
        <x:v>214700</x:v>
      </x:c>
      <x:c r="AU61" s="234" t="s">
        <x:v>60</x:v>
      </x:c>
      <x:c r="AV61" s="107">
        <x:v>20000</x:v>
      </x:c>
      <x:c r="AW61" s="38">
        <x:f t="shared" si="32"/>
        <x:v>85900</x:v>
      </x:c>
      <x:c r="AX61" s="38">
        <x:f t="shared" si="33"/>
        <x:v>128800</x:v>
      </x:c>
      <x:c r="AY61" s="38">
        <x:f t="shared" si="34"/>
        <x:v>171800</x:v>
      </x:c>
      <x:c r="AZ61" s="38">
        <x:f t="shared" si="35"/>
        <x:v>214700</x:v>
      </x:c>
      <x:c r="BA61" s="235" t="s">
        <x:v>60</x:v>
      </x:c>
      <x:c r="BB61" s="107" t="s">
        <x:v>60</x:v>
      </x:c>
      <x:c r="BC61" s="38">
        <x:f t="shared" si="12"/>
        <x:v>78300</x:v>
      </x:c>
      <x:c r="BD61" s="38">
        <x:f t="shared" si="13"/>
        <x:v>117400</x:v>
      </x:c>
      <x:c r="BE61" s="38">
        <x:f t="shared" si="14"/>
        <x:v>156600</x:v>
      </x:c>
      <x:c r="BF61" s="236">
        <x:f t="shared" si="15"/>
        <x:v>195800</x:v>
      </x:c>
      <x:c r="BG61" s="22"/>
    </x:row>
    <x:row r="62" spans="1:59">
      <x:c r="A62" s="22"/>
      <x:c r="B62" s="37" t="s">
        <x:v>64</x:v>
      </x:c>
      <x:c r="C62" s="229" t="s">
        <x:v>90</x:v>
      </x:c>
      <x:c r="D62" s="229" t="s">
        <x:v>6</x:v>
      </x:c>
      <x:c r="E62" s="230" t="s">
        <x:v>6</x:v>
      </x:c>
      <x:c r="F62" s="37">
        <x:v>118</x:v>
      </x:c>
      <x:c r="G62" s="229">
        <x:v>80</x:v>
      </x:c>
      <x:c r="H62" s="229">
        <x:v>10</x:v>
      </x:c>
      <x:c r="I62" s="229">
        <x:v>40</x:v>
      </x:c>
      <x:c r="J62" s="229">
        <x:f t="shared" si="0"/>
        <x:v>248</x:v>
      </x:c>
      <x:c r="K62" s="107">
        <x:f t="shared" si="16"/>
        <x:v>2041000</x:v>
      </x:c>
      <x:c r="L62" s="107">
        <x:f t="shared" si="41"/>
        <x:v>1385000</x:v>
      </x:c>
      <x:c r="M62" s="107">
        <x:f t="shared" si="50"/>
        <x:v>175000</x:v>
      </x:c>
      <x:c r="N62" s="107">
        <x:f t="shared" si="49"/>
        <x:v>694000</x:v>
      </x:c>
      <x:c r="O62" s="231">
        <x:f t="shared" si="17"/>
        <x:v>4295000</x:v>
      </x:c>
      <x:c r="P62" s="37">
        <x:f t="shared" si="18"/>
        <x:v>248</x:v>
      </x:c>
      <x:c r="Q62" s="107">
        <x:f t="shared" si="19"/>
        <x:v>4295000</x:v>
      </x:c>
      <x:c r="R62" s="229">
        <x:f t="shared" si="26"/>
        <x:v>226</x:v>
      </x:c>
      <x:c r="S62" s="107">
        <x:f t="shared" si="20"/>
        <x:v>3916000</x:v>
      </x:c>
      <x:c r="T62" s="232">
        <x:f t="shared" si="1"/>
        <x:v>2147500</x:v>
      </x:c>
      <x:c r="U62" s="107">
        <x:f t="shared" si="2"/>
        <x:v>2147500</x:v>
      </x:c>
      <x:c r="V62" s="231">
        <x:f t="shared" si="3"/>
        <x:v>1958000</x:v>
      </x:c>
      <x:c r="W62" s="37" t="s">
        <x:v>60</x:v>
      </x:c>
      <x:c r="X62" s="107">
        <x:v>20000</x:v>
      </x:c>
      <x:c r="Y62" s="38">
        <x:f t="shared" si="21"/>
        <x:v>171800</x:v>
      </x:c>
      <x:c r="Z62" s="38">
        <x:f t="shared" si="22"/>
        <x:v>216200</x:v>
      </x:c>
      <x:c r="AA62" s="38">
        <x:f t="shared" si="23"/>
        <x:v>216200</x:v>
      </x:c>
      <x:c r="AB62" s="38">
        <x:f t="shared" si="24"/>
        <x:v>216200</x:v>
      </x:c>
      <x:c r="AC62" s="233" t="s">
        <x:v>60</x:v>
      </x:c>
      <x:c r="AD62" s="107">
        <x:v>20000</x:v>
      </x:c>
      <x:c r="AE62" s="38">
        <x:f t="shared" si="4"/>
        <x:v>171800</x:v>
      </x:c>
      <x:c r="AF62" s="38">
        <x:f t="shared" si="5"/>
        <x:v>216200</x:v>
      </x:c>
      <x:c r="AG62" s="38">
        <x:f t="shared" si="6"/>
        <x:v>216200</x:v>
      </x:c>
      <x:c r="AH62" s="38">
        <x:f t="shared" si="7"/>
        <x:v>216200</x:v>
      </x:c>
      <x:c r="AI62" s="234" t="s">
        <x:v>60</x:v>
      </x:c>
      <x:c r="AJ62" s="229" t="s">
        <x:v>60</x:v>
      </x:c>
      <x:c r="AK62" s="38">
        <x:f t="shared" si="8"/>
        <x:v>156600</x:v>
      </x:c>
      <x:c r="AL62" s="38">
        <x:f t="shared" si="9"/>
        <x:v>216200</x:v>
      </x:c>
      <x:c r="AM62" s="38">
        <x:f t="shared" si="10"/>
        <x:v>216200</x:v>
      </x:c>
      <x:c r="AN62" s="237">
        <x:f t="shared" si="11"/>
        <x:v>216200</x:v>
      </x:c>
      <x:c r="AO62" s="234" t="s">
        <x:v>60</x:v>
      </x:c>
      <x:c r="AP62" s="107">
        <x:v>20000</x:v>
      </x:c>
      <x:c r="AQ62" s="38">
        <x:f t="shared" si="28"/>
        <x:v>85900</x:v>
      </x:c>
      <x:c r="AR62" s="38">
        <x:f t="shared" si="29"/>
        <x:v>128800</x:v>
      </x:c>
      <x:c r="AS62" s="38">
        <x:f t="shared" si="30"/>
        <x:v>171800</x:v>
      </x:c>
      <x:c r="AT62" s="237">
        <x:f t="shared" si="31"/>
        <x:v>214700</x:v>
      </x:c>
      <x:c r="AU62" s="234" t="s">
        <x:v>60</x:v>
      </x:c>
      <x:c r="AV62" s="107">
        <x:v>20000</x:v>
      </x:c>
      <x:c r="AW62" s="38">
        <x:f t="shared" si="32"/>
        <x:v>85900</x:v>
      </x:c>
      <x:c r="AX62" s="38">
        <x:f t="shared" si="33"/>
        <x:v>128800</x:v>
      </x:c>
      <x:c r="AY62" s="38">
        <x:f t="shared" si="34"/>
        <x:v>171800</x:v>
      </x:c>
      <x:c r="AZ62" s="38">
        <x:f t="shared" si="35"/>
        <x:v>214700</x:v>
      </x:c>
      <x:c r="BA62" s="235" t="s">
        <x:v>60</x:v>
      </x:c>
      <x:c r="BB62" s="107" t="s">
        <x:v>60</x:v>
      </x:c>
      <x:c r="BC62" s="38">
        <x:f t="shared" si="12"/>
        <x:v>78300</x:v>
      </x:c>
      <x:c r="BD62" s="38">
        <x:f t="shared" si="13"/>
        <x:v>117400</x:v>
      </x:c>
      <x:c r="BE62" s="38">
        <x:f t="shared" si="14"/>
        <x:v>156600</x:v>
      </x:c>
      <x:c r="BF62" s="236">
        <x:f t="shared" si="15"/>
        <x:v>195800</x:v>
      </x:c>
      <x:c r="BG62" s="22"/>
    </x:row>
    <x:row r="63" spans="1:59">
      <x:c r="A63" s="22"/>
      <x:c r="B63" s="37" t="s">
        <x:v>64</x:v>
      </x:c>
      <x:c r="C63" s="229" t="s">
        <x:v>89</x:v>
      </x:c>
      <x:c r="D63" s="229"/>
      <x:c r="E63" s="230"/>
      <x:c r="F63" s="37">
        <x:v>118</x:v>
      </x:c>
      <x:c r="G63" s="229">
        <x:v>273</x:v>
      </x:c>
      <x:c r="H63" s="229"/>
      <x:c r="I63" s="229"/>
      <x:c r="J63" s="229">
        <x:f t="shared" si="0"/>
        <x:v>391</x:v>
      </x:c>
      <x:c r="K63" s="107">
        <x:f t="shared" si="16"/>
        <x:v>2041000</x:v>
      </x:c>
      <x:c r="L63" s="107">
        <x:f t="shared" si="41"/>
        <x:v>4718000</x:v>
      </x:c>
      <x:c r="M63" s="107"/>
      <x:c r="N63" s="107"/>
      <x:c r="O63" s="231">
        <x:f t="shared" si="17"/>
        <x:v>6759000</x:v>
      </x:c>
      <x:c r="P63" s="37">
        <x:f t="shared" si="18"/>
        <x:v>391</x:v>
      </x:c>
      <x:c r="Q63" s="107">
        <x:f t="shared" si="19"/>
        <x:v>6759000</x:v>
      </x:c>
      <x:c r="R63" s="229">
        <x:f t="shared" si="26"/>
        <x:v>369</x:v>
      </x:c>
      <x:c r="S63" s="107">
        <x:f t="shared" si="20"/>
        <x:v>6380000</x:v>
      </x:c>
      <x:c r="T63" s="232">
        <x:f t="shared" si="1"/>
        <x:v>3379500</x:v>
      </x:c>
      <x:c r="U63" s="107">
        <x:f t="shared" si="2"/>
        <x:v>3379500</x:v>
      </x:c>
      <x:c r="V63" s="231">
        <x:f t="shared" si="3"/>
        <x:v>3190000</x:v>
      </x:c>
      <x:c r="W63" s="37" t="s">
        <x:v>60</x:v>
      </x:c>
      <x:c r="X63" s="107">
        <x:v>20000</x:v>
      </x:c>
      <x:c r="Y63" s="38">
        <x:f t="shared" si="21"/>
        <x:v>216200</x:v>
      </x:c>
      <x:c r="Z63" s="38">
        <x:f t="shared" si="22"/>
        <x:v>216200</x:v>
      </x:c>
      <x:c r="AA63" s="38">
        <x:f t="shared" si="23"/>
        <x:v>216200</x:v>
      </x:c>
      <x:c r="AB63" s="38">
        <x:f t="shared" si="24"/>
        <x:v>216200</x:v>
      </x:c>
      <x:c r="AC63" s="233" t="s">
        <x:v>60</x:v>
      </x:c>
      <x:c r="AD63" s="107">
        <x:v>20000</x:v>
      </x:c>
      <x:c r="AE63" s="38">
        <x:f t="shared" si="4"/>
        <x:v>216200</x:v>
      </x:c>
      <x:c r="AF63" s="38">
        <x:f t="shared" si="5"/>
        <x:v>216200</x:v>
      </x:c>
      <x:c r="AG63" s="38">
        <x:f t="shared" si="6"/>
        <x:v>216200</x:v>
      </x:c>
      <x:c r="AH63" s="38">
        <x:f t="shared" si="7"/>
        <x:v>216200</x:v>
      </x:c>
      <x:c r="AI63" s="234" t="s">
        <x:v>60</x:v>
      </x:c>
      <x:c r="AJ63" s="229" t="s">
        <x:v>60</x:v>
      </x:c>
      <x:c r="AK63" s="38">
        <x:f t="shared" si="8"/>
        <x:v>216200</x:v>
      </x:c>
      <x:c r="AL63" s="38">
        <x:f t="shared" si="9"/>
        <x:v>216200</x:v>
      </x:c>
      <x:c r="AM63" s="38">
        <x:f t="shared" si="10"/>
        <x:v>216200</x:v>
      </x:c>
      <x:c r="AN63" s="237">
        <x:f t="shared" si="11"/>
        <x:v>216200</x:v>
      </x:c>
      <x:c r="AO63" s="234" t="s">
        <x:v>60</x:v>
      </x:c>
      <x:c r="AP63" s="107">
        <x:v>20000</x:v>
      </x:c>
      <x:c r="AQ63" s="38">
        <x:f t="shared" si="28"/>
        <x:v>135100</x:v>
      </x:c>
      <x:c r="AR63" s="38">
        <x:f t="shared" si="29"/>
        <x:v>202700</x:v>
      </x:c>
      <x:c r="AS63" s="38">
        <x:f t="shared" si="30"/>
        <x:v>216200</x:v>
      </x:c>
      <x:c r="AT63" s="237">
        <x:f t="shared" si="31"/>
        <x:v>216200</x:v>
      </x:c>
      <x:c r="AU63" s="234" t="s">
        <x:v>60</x:v>
      </x:c>
      <x:c r="AV63" s="107">
        <x:v>20000</x:v>
      </x:c>
      <x:c r="AW63" s="38">
        <x:f t="shared" si="32"/>
        <x:v>135100</x:v>
      </x:c>
      <x:c r="AX63" s="38">
        <x:f t="shared" si="33"/>
        <x:v>202700</x:v>
      </x:c>
      <x:c r="AY63" s="38">
        <x:f t="shared" si="34"/>
        <x:v>216200</x:v>
      </x:c>
      <x:c r="AZ63" s="38">
        <x:f t="shared" si="35"/>
        <x:v>216200</x:v>
      </x:c>
      <x:c r="BA63" s="235" t="s">
        <x:v>60</x:v>
      </x:c>
      <x:c r="BB63" s="107" t="s">
        <x:v>60</x:v>
      </x:c>
      <x:c r="BC63" s="38">
        <x:f t="shared" si="12"/>
        <x:v>127600</x:v>
      </x:c>
      <x:c r="BD63" s="38">
        <x:f t="shared" si="13"/>
        <x:v>191400</x:v>
      </x:c>
      <x:c r="BE63" s="38">
        <x:f t="shared" si="14"/>
        <x:v>216200</x:v>
      </x:c>
      <x:c r="BF63" s="236">
        <x:f t="shared" si="15"/>
        <x:v>216200</x:v>
      </x:c>
      <x:c r="BG63" s="22"/>
    </x:row>
    <x:row r="64" spans="1:59">
      <x:c r="A64" s="22"/>
      <x:c r="B64" s="37" t="s">
        <x:v>64</x:v>
      </x:c>
      <x:c r="C64" s="229" t="s">
        <x:v>104</x:v>
      </x:c>
      <x:c r="D64" s="229"/>
      <x:c r="E64" s="230"/>
      <x:c r="F64" s="37">
        <x:v>118</x:v>
      </x:c>
      <x:c r="G64" s="229">
        <x:v>273</x:v>
      </x:c>
      <x:c r="H64" s="229"/>
      <x:c r="I64" s="229"/>
      <x:c r="J64" s="229">
        <x:f t="shared" si="0"/>
        <x:v>391</x:v>
      </x:c>
      <x:c r="K64" s="107">
        <x:f t="shared" si="16"/>
        <x:v>2041000</x:v>
      </x:c>
      <x:c r="L64" s="107">
        <x:f t="shared" si="41"/>
        <x:v>4718000</x:v>
      </x:c>
      <x:c r="M64" s="107"/>
      <x:c r="N64" s="107"/>
      <x:c r="O64" s="231">
        <x:f t="shared" si="17"/>
        <x:v>6759000</x:v>
      </x:c>
      <x:c r="P64" s="37">
        <x:f t="shared" si="18"/>
        <x:v>391</x:v>
      </x:c>
      <x:c r="Q64" s="107">
        <x:f t="shared" si="19"/>
        <x:v>6759000</x:v>
      </x:c>
      <x:c r="R64" s="229">
        <x:f t="shared" si="26"/>
        <x:v>369</x:v>
      </x:c>
      <x:c r="S64" s="107">
        <x:f t="shared" si="20"/>
        <x:v>6380000</x:v>
      </x:c>
      <x:c r="T64" s="232">
        <x:f t="shared" si="1"/>
        <x:v>3379500</x:v>
      </x:c>
      <x:c r="U64" s="107">
        <x:f t="shared" si="2"/>
        <x:v>3379500</x:v>
      </x:c>
      <x:c r="V64" s="231">
        <x:f t="shared" si="3"/>
        <x:v>3190000</x:v>
      </x:c>
      <x:c r="W64" s="37" t="s">
        <x:v>60</x:v>
      </x:c>
      <x:c r="X64" s="107">
        <x:v>20000</x:v>
      </x:c>
      <x:c r="Y64" s="38">
        <x:f t="shared" si="21"/>
        <x:v>216200</x:v>
      </x:c>
      <x:c r="Z64" s="38">
        <x:f t="shared" si="22"/>
        <x:v>216200</x:v>
      </x:c>
      <x:c r="AA64" s="38">
        <x:f t="shared" si="23"/>
        <x:v>216200</x:v>
      </x:c>
      <x:c r="AB64" s="38">
        <x:f t="shared" si="24"/>
        <x:v>216200</x:v>
      </x:c>
      <x:c r="AC64" s="233" t="s">
        <x:v>60</x:v>
      </x:c>
      <x:c r="AD64" s="107">
        <x:v>20000</x:v>
      </x:c>
      <x:c r="AE64" s="38">
        <x:f t="shared" si="4"/>
        <x:v>216200</x:v>
      </x:c>
      <x:c r="AF64" s="38">
        <x:f t="shared" si="5"/>
        <x:v>216200</x:v>
      </x:c>
      <x:c r="AG64" s="38">
        <x:f t="shared" si="6"/>
        <x:v>216200</x:v>
      </x:c>
      <x:c r="AH64" s="38">
        <x:f t="shared" si="7"/>
        <x:v>216200</x:v>
      </x:c>
      <x:c r="AI64" s="234" t="s">
        <x:v>60</x:v>
      </x:c>
      <x:c r="AJ64" s="229" t="s">
        <x:v>60</x:v>
      </x:c>
      <x:c r="AK64" s="38">
        <x:f t="shared" si="8"/>
        <x:v>216200</x:v>
      </x:c>
      <x:c r="AL64" s="38">
        <x:f t="shared" si="9"/>
        <x:v>216200</x:v>
      </x:c>
      <x:c r="AM64" s="38">
        <x:f t="shared" si="10"/>
        <x:v>216200</x:v>
      </x:c>
      <x:c r="AN64" s="237">
        <x:f t="shared" si="11"/>
        <x:v>216200</x:v>
      </x:c>
      <x:c r="AO64" s="234" t="s">
        <x:v>60</x:v>
      </x:c>
      <x:c r="AP64" s="107">
        <x:v>20000</x:v>
      </x:c>
      <x:c r="AQ64" s="38">
        <x:f t="shared" si="28"/>
        <x:v>135100</x:v>
      </x:c>
      <x:c r="AR64" s="38">
        <x:f t="shared" si="29"/>
        <x:v>202700</x:v>
      </x:c>
      <x:c r="AS64" s="38">
        <x:f t="shared" si="30"/>
        <x:v>216200</x:v>
      </x:c>
      <x:c r="AT64" s="237">
        <x:f t="shared" si="31"/>
        <x:v>216200</x:v>
      </x:c>
      <x:c r="AU64" s="234" t="s">
        <x:v>60</x:v>
      </x:c>
      <x:c r="AV64" s="107">
        <x:v>20000</x:v>
      </x:c>
      <x:c r="AW64" s="38">
        <x:f t="shared" si="32"/>
        <x:v>135100</x:v>
      </x:c>
      <x:c r="AX64" s="38">
        <x:f t="shared" si="33"/>
        <x:v>202700</x:v>
      </x:c>
      <x:c r="AY64" s="38">
        <x:f t="shared" si="34"/>
        <x:v>216200</x:v>
      </x:c>
      <x:c r="AZ64" s="38">
        <x:f t="shared" si="35"/>
        <x:v>216200</x:v>
      </x:c>
      <x:c r="BA64" s="235" t="s">
        <x:v>60</x:v>
      </x:c>
      <x:c r="BB64" s="107" t="s">
        <x:v>60</x:v>
      </x:c>
      <x:c r="BC64" s="38">
        <x:f t="shared" si="12"/>
        <x:v>127600</x:v>
      </x:c>
      <x:c r="BD64" s="38">
        <x:f t="shared" si="13"/>
        <x:v>191400</x:v>
      </x:c>
      <x:c r="BE64" s="38">
        <x:f t="shared" si="14"/>
        <x:v>216200</x:v>
      </x:c>
      <x:c r="BF64" s="236">
        <x:f t="shared" si="15"/>
        <x:v>216200</x:v>
      </x:c>
      <x:c r="BG64" s="22"/>
    </x:row>
    <x:row r="65" spans="1:59">
      <x:c r="A65" s="22"/>
      <x:c r="B65" s="37" t="s">
        <x:v>64</x:v>
      </x:c>
      <x:c r="C65" s="229" t="s">
        <x:v>89</x:v>
      </x:c>
      <x:c r="D65" s="229" t="s">
        <x:v>6</x:v>
      </x:c>
      <x:c r="E65" s="230"/>
      <x:c r="F65" s="37">
        <x:v>118</x:v>
      </x:c>
      <x:c r="G65" s="229">
        <x:v>273</x:v>
      </x:c>
      <x:c r="H65" s="229">
        <x:v>10</x:v>
      </x:c>
      <x:c r="I65" s="229"/>
      <x:c r="J65" s="229">
        <x:f t="shared" si="0"/>
        <x:v>401</x:v>
      </x:c>
      <x:c r="K65" s="107">
        <x:f t="shared" si="16"/>
        <x:v>2041000</x:v>
      </x:c>
      <x:c r="L65" s="107">
        <x:f t="shared" si="41"/>
        <x:v>4718000</x:v>
      </x:c>
      <x:c r="M65" s="107">
        <x:f t="shared" ref="M65:M66" si="51">HLOOKUP($M$10,$I$1:$T$2,2,FALSE)</x:f>
        <x:v>175000</x:v>
      </x:c>
      <x:c r="N65" s="107"/>
      <x:c r="O65" s="231">
        <x:f t="shared" si="17"/>
        <x:v>6934000</x:v>
      </x:c>
      <x:c r="P65" s="37">
        <x:f t="shared" si="18"/>
        <x:v>401</x:v>
      </x:c>
      <x:c r="Q65" s="107">
        <x:f t="shared" si="19"/>
        <x:v>6934000</x:v>
      </x:c>
      <x:c r="R65" s="229">
        <x:f t="shared" si="26"/>
        <x:v>379</x:v>
      </x:c>
      <x:c r="S65" s="107">
        <x:f t="shared" si="20"/>
        <x:v>6555000</x:v>
      </x:c>
      <x:c r="T65" s="232">
        <x:f t="shared" si="1"/>
        <x:v>3467000</x:v>
      </x:c>
      <x:c r="U65" s="107">
        <x:f t="shared" si="2"/>
        <x:v>3467000</x:v>
      </x:c>
      <x:c r="V65" s="231">
        <x:f t="shared" si="3"/>
        <x:v>3277500</x:v>
      </x:c>
      <x:c r="W65" s="37" t="s">
        <x:v>60</x:v>
      </x:c>
      <x:c r="X65" s="107">
        <x:v>20000</x:v>
      </x:c>
      <x:c r="Y65" s="38">
        <x:f t="shared" si="21"/>
        <x:v>216200</x:v>
      </x:c>
      <x:c r="Z65" s="38">
        <x:f t="shared" si="22"/>
        <x:v>216200</x:v>
      </x:c>
      <x:c r="AA65" s="38">
        <x:f t="shared" si="23"/>
        <x:v>216200</x:v>
      </x:c>
      <x:c r="AB65" s="38">
        <x:f t="shared" si="24"/>
        <x:v>216200</x:v>
      </x:c>
      <x:c r="AC65" s="233" t="s">
        <x:v>60</x:v>
      </x:c>
      <x:c r="AD65" s="107">
        <x:v>20000</x:v>
      </x:c>
      <x:c r="AE65" s="38">
        <x:f t="shared" si="4"/>
        <x:v>216200</x:v>
      </x:c>
      <x:c r="AF65" s="38">
        <x:f t="shared" si="5"/>
        <x:v>216200</x:v>
      </x:c>
      <x:c r="AG65" s="38">
        <x:f t="shared" si="6"/>
        <x:v>216200</x:v>
      </x:c>
      <x:c r="AH65" s="38">
        <x:f t="shared" si="7"/>
        <x:v>216200</x:v>
      </x:c>
      <x:c r="AI65" s="234" t="s">
        <x:v>60</x:v>
      </x:c>
      <x:c r="AJ65" s="229" t="s">
        <x:v>60</x:v>
      </x:c>
      <x:c r="AK65" s="38">
        <x:f t="shared" si="8"/>
        <x:v>216200</x:v>
      </x:c>
      <x:c r="AL65" s="38">
        <x:f t="shared" si="9"/>
        <x:v>216200</x:v>
      </x:c>
      <x:c r="AM65" s="38">
        <x:f t="shared" si="10"/>
        <x:v>216200</x:v>
      </x:c>
      <x:c r="AN65" s="237">
        <x:f t="shared" si="11"/>
        <x:v>216200</x:v>
      </x:c>
      <x:c r="AO65" s="234" t="s">
        <x:v>60</x:v>
      </x:c>
      <x:c r="AP65" s="107">
        <x:v>20000</x:v>
      </x:c>
      <x:c r="AQ65" s="38">
        <x:f t="shared" si="28"/>
        <x:v>138600</x:v>
      </x:c>
      <x:c r="AR65" s="38">
        <x:f t="shared" si="29"/>
        <x:v>208000</x:v>
      </x:c>
      <x:c r="AS65" s="38">
        <x:f t="shared" si="30"/>
        <x:v>216200</x:v>
      </x:c>
      <x:c r="AT65" s="237">
        <x:f t="shared" si="31"/>
        <x:v>216200</x:v>
      </x:c>
      <x:c r="AU65" s="234" t="s">
        <x:v>60</x:v>
      </x:c>
      <x:c r="AV65" s="107">
        <x:v>20000</x:v>
      </x:c>
      <x:c r="AW65" s="38">
        <x:f t="shared" si="32"/>
        <x:v>138600</x:v>
      </x:c>
      <x:c r="AX65" s="38">
        <x:f t="shared" si="33"/>
        <x:v>208000</x:v>
      </x:c>
      <x:c r="AY65" s="38">
        <x:f t="shared" si="34"/>
        <x:v>216200</x:v>
      </x:c>
      <x:c r="AZ65" s="38">
        <x:f t="shared" si="35"/>
        <x:v>216200</x:v>
      </x:c>
      <x:c r="BA65" s="235" t="s">
        <x:v>60</x:v>
      </x:c>
      <x:c r="BB65" s="107" t="s">
        <x:v>60</x:v>
      </x:c>
      <x:c r="BC65" s="38">
        <x:f t="shared" si="12"/>
        <x:v>131100</x:v>
      </x:c>
      <x:c r="BD65" s="38">
        <x:f t="shared" si="13"/>
        <x:v>196600</x:v>
      </x:c>
      <x:c r="BE65" s="38">
        <x:f t="shared" si="14"/>
        <x:v>216200</x:v>
      </x:c>
      <x:c r="BF65" s="236">
        <x:f t="shared" si="15"/>
        <x:v>216200</x:v>
      </x:c>
      <x:c r="BG65" s="22"/>
    </x:row>
    <x:row r="66" spans="1:59">
      <x:c r="A66" s="22"/>
      <x:c r="B66" s="37" t="s">
        <x:v>64</x:v>
      </x:c>
      <x:c r="C66" s="229" t="s">
        <x:v>104</x:v>
      </x:c>
      <x:c r="D66" s="229" t="s">
        <x:v>6</x:v>
      </x:c>
      <x:c r="E66" s="230"/>
      <x:c r="F66" s="37">
        <x:v>118</x:v>
      </x:c>
      <x:c r="G66" s="229">
        <x:v>273</x:v>
      </x:c>
      <x:c r="H66" s="229">
        <x:v>10</x:v>
      </x:c>
      <x:c r="I66" s="229"/>
      <x:c r="J66" s="229">
        <x:f t="shared" si="0"/>
        <x:v>401</x:v>
      </x:c>
      <x:c r="K66" s="107">
        <x:f t="shared" si="16"/>
        <x:v>2041000</x:v>
      </x:c>
      <x:c r="L66" s="107">
        <x:f t="shared" si="41"/>
        <x:v>4718000</x:v>
      </x:c>
      <x:c r="M66" s="107">
        <x:f t="shared" si="51"/>
        <x:v>175000</x:v>
      </x:c>
      <x:c r="N66" s="107"/>
      <x:c r="O66" s="231">
        <x:f t="shared" si="17"/>
        <x:v>6934000</x:v>
      </x:c>
      <x:c r="P66" s="37">
        <x:f t="shared" si="18"/>
        <x:v>401</x:v>
      </x:c>
      <x:c r="Q66" s="107">
        <x:f t="shared" si="19"/>
        <x:v>6934000</x:v>
      </x:c>
      <x:c r="R66" s="229">
        <x:f t="shared" si="26"/>
        <x:v>379</x:v>
      </x:c>
      <x:c r="S66" s="107">
        <x:f t="shared" si="20"/>
        <x:v>6555000</x:v>
      </x:c>
      <x:c r="T66" s="232">
        <x:f t="shared" si="1"/>
        <x:v>3467000</x:v>
      </x:c>
      <x:c r="U66" s="107">
        <x:f t="shared" si="2"/>
        <x:v>3467000</x:v>
      </x:c>
      <x:c r="V66" s="231">
        <x:f t="shared" si="3"/>
        <x:v>3277500</x:v>
      </x:c>
      <x:c r="W66" s="37" t="s">
        <x:v>60</x:v>
      </x:c>
      <x:c r="X66" s="107">
        <x:v>20000</x:v>
      </x:c>
      <x:c r="Y66" s="38">
        <x:f t="shared" si="21"/>
        <x:v>216200</x:v>
      </x:c>
      <x:c r="Z66" s="38">
        <x:f t="shared" si="22"/>
        <x:v>216200</x:v>
      </x:c>
      <x:c r="AA66" s="38">
        <x:f t="shared" si="23"/>
        <x:v>216200</x:v>
      </x:c>
      <x:c r="AB66" s="38">
        <x:f t="shared" si="24"/>
        <x:v>216200</x:v>
      </x:c>
      <x:c r="AC66" s="233" t="s">
        <x:v>60</x:v>
      </x:c>
      <x:c r="AD66" s="107">
        <x:v>20000</x:v>
      </x:c>
      <x:c r="AE66" s="38">
        <x:f t="shared" si="4"/>
        <x:v>216200</x:v>
      </x:c>
      <x:c r="AF66" s="38">
        <x:f t="shared" si="5"/>
        <x:v>216200</x:v>
      </x:c>
      <x:c r="AG66" s="38">
        <x:f t="shared" si="6"/>
        <x:v>216200</x:v>
      </x:c>
      <x:c r="AH66" s="38">
        <x:f t="shared" si="7"/>
        <x:v>216200</x:v>
      </x:c>
      <x:c r="AI66" s="234" t="s">
        <x:v>60</x:v>
      </x:c>
      <x:c r="AJ66" s="229" t="s">
        <x:v>60</x:v>
      </x:c>
      <x:c r="AK66" s="38">
        <x:f t="shared" si="8"/>
        <x:v>216200</x:v>
      </x:c>
      <x:c r="AL66" s="38">
        <x:f t="shared" si="9"/>
        <x:v>216200</x:v>
      </x:c>
      <x:c r="AM66" s="38">
        <x:f t="shared" si="10"/>
        <x:v>216200</x:v>
      </x:c>
      <x:c r="AN66" s="237">
        <x:f t="shared" si="11"/>
        <x:v>216200</x:v>
      </x:c>
      <x:c r="AO66" s="234" t="s">
        <x:v>60</x:v>
      </x:c>
      <x:c r="AP66" s="107">
        <x:v>20000</x:v>
      </x:c>
      <x:c r="AQ66" s="38">
        <x:f t="shared" si="28"/>
        <x:v>138600</x:v>
      </x:c>
      <x:c r="AR66" s="38">
        <x:f t="shared" si="29"/>
        <x:v>208000</x:v>
      </x:c>
      <x:c r="AS66" s="38">
        <x:f t="shared" si="30"/>
        <x:v>216200</x:v>
      </x:c>
      <x:c r="AT66" s="237">
        <x:f t="shared" si="31"/>
        <x:v>216200</x:v>
      </x:c>
      <x:c r="AU66" s="234" t="s">
        <x:v>60</x:v>
      </x:c>
      <x:c r="AV66" s="107">
        <x:v>20000</x:v>
      </x:c>
      <x:c r="AW66" s="38">
        <x:f t="shared" si="32"/>
        <x:v>138600</x:v>
      </x:c>
      <x:c r="AX66" s="38">
        <x:f t="shared" si="33"/>
        <x:v>208000</x:v>
      </x:c>
      <x:c r="AY66" s="38">
        <x:f t="shared" si="34"/>
        <x:v>216200</x:v>
      </x:c>
      <x:c r="AZ66" s="38">
        <x:f t="shared" si="35"/>
        <x:v>216200</x:v>
      </x:c>
      <x:c r="BA66" s="235" t="s">
        <x:v>60</x:v>
      </x:c>
      <x:c r="BB66" s="107" t="s">
        <x:v>60</x:v>
      </x:c>
      <x:c r="BC66" s="38">
        <x:f t="shared" si="12"/>
        <x:v>131100</x:v>
      </x:c>
      <x:c r="BD66" s="38">
        <x:f t="shared" si="13"/>
        <x:v>196600</x:v>
      </x:c>
      <x:c r="BE66" s="38">
        <x:f t="shared" si="14"/>
        <x:v>216200</x:v>
      </x:c>
      <x:c r="BF66" s="236">
        <x:f t="shared" si="15"/>
        <x:v>216200</x:v>
      </x:c>
      <x:c r="BG66" s="22"/>
    </x:row>
    <x:row r="67" spans="1:59">
      <x:c r="A67" s="22"/>
      <x:c r="B67" s="37" t="s">
        <x:v>64</x:v>
      </x:c>
      <x:c r="C67" s="229" t="s">
        <x:v>89</x:v>
      </x:c>
      <x:c r="D67" s="229"/>
      <x:c r="E67" s="230" t="s">
        <x:v>6</x:v>
      </x:c>
      <x:c r="F67" s="37">
        <x:v>118</x:v>
      </x:c>
      <x:c r="G67" s="229">
        <x:v>273</x:v>
      </x:c>
      <x:c r="H67" s="229"/>
      <x:c r="I67" s="229">
        <x:v>40</x:v>
      </x:c>
      <x:c r="J67" s="229">
        <x:f t="shared" si="0"/>
        <x:v>431</x:v>
      </x:c>
      <x:c r="K67" s="107">
        <x:f t="shared" si="16"/>
        <x:v>2041000</x:v>
      </x:c>
      <x:c r="L67" s="107">
        <x:f t="shared" si="41"/>
        <x:v>4718000</x:v>
      </x:c>
      <x:c r="M67" s="107"/>
      <x:c r="N67" s="107">
        <x:f t="shared" ref="N67:N70" si="52">HLOOKUP($N$10,$I$1:$T$2,2,FALSE)</x:f>
        <x:v>694000</x:v>
      </x:c>
      <x:c r="O67" s="231">
        <x:f t="shared" si="17"/>
        <x:v>7453000</x:v>
      </x:c>
      <x:c r="P67" s="37">
        <x:f t="shared" si="18"/>
        <x:v>431</x:v>
      </x:c>
      <x:c r="Q67" s="107">
        <x:f t="shared" si="19"/>
        <x:v>7453000</x:v>
      </x:c>
      <x:c r="R67" s="229">
        <x:f t="shared" si="26"/>
        <x:v>409</x:v>
      </x:c>
      <x:c r="S67" s="107">
        <x:f t="shared" si="20"/>
        <x:v>7074000</x:v>
      </x:c>
      <x:c r="T67" s="232">
        <x:f t="shared" si="1"/>
        <x:v>3726500</x:v>
      </x:c>
      <x:c r="U67" s="107">
        <x:f t="shared" si="2"/>
        <x:v>3726500</x:v>
      </x:c>
      <x:c r="V67" s="231">
        <x:f t="shared" si="3"/>
        <x:v>3537000</x:v>
      </x:c>
      <x:c r="W67" s="37" t="s">
        <x:v>60</x:v>
      </x:c>
      <x:c r="X67" s="107">
        <x:v>20000</x:v>
      </x:c>
      <x:c r="Y67" s="38">
        <x:f t="shared" si="21"/>
        <x:v>216200</x:v>
      </x:c>
      <x:c r="Z67" s="38">
        <x:f t="shared" si="22"/>
        <x:v>216200</x:v>
      </x:c>
      <x:c r="AA67" s="38">
        <x:f t="shared" si="23"/>
        <x:v>216200</x:v>
      </x:c>
      <x:c r="AB67" s="38">
        <x:f t="shared" si="24"/>
        <x:v>216200</x:v>
      </x:c>
      <x:c r="AC67" s="233" t="s">
        <x:v>60</x:v>
      </x:c>
      <x:c r="AD67" s="107">
        <x:v>20000</x:v>
      </x:c>
      <x:c r="AE67" s="38">
        <x:f t="shared" si="4"/>
        <x:v>216200</x:v>
      </x:c>
      <x:c r="AF67" s="38">
        <x:f t="shared" si="5"/>
        <x:v>216200</x:v>
      </x:c>
      <x:c r="AG67" s="38">
        <x:f t="shared" si="6"/>
        <x:v>216200</x:v>
      </x:c>
      <x:c r="AH67" s="38">
        <x:f t="shared" si="7"/>
        <x:v>216200</x:v>
      </x:c>
      <x:c r="AI67" s="234" t="s">
        <x:v>60</x:v>
      </x:c>
      <x:c r="AJ67" s="229" t="s">
        <x:v>60</x:v>
      </x:c>
      <x:c r="AK67" s="38">
        <x:f t="shared" si="8"/>
        <x:v>216200</x:v>
      </x:c>
      <x:c r="AL67" s="38">
        <x:f t="shared" si="9"/>
        <x:v>216200</x:v>
      </x:c>
      <x:c r="AM67" s="38">
        <x:f t="shared" si="10"/>
        <x:v>216200</x:v>
      </x:c>
      <x:c r="AN67" s="237">
        <x:f t="shared" si="11"/>
        <x:v>216200</x:v>
      </x:c>
      <x:c r="AO67" s="234" t="s">
        <x:v>60</x:v>
      </x:c>
      <x:c r="AP67" s="107">
        <x:v>20000</x:v>
      </x:c>
      <x:c r="AQ67" s="38">
        <x:f t="shared" si="28"/>
        <x:v>149000</x:v>
      </x:c>
      <x:c r="AR67" s="38">
        <x:f t="shared" si="29"/>
        <x:v>216200</x:v>
      </x:c>
      <x:c r="AS67" s="38">
        <x:f t="shared" si="30"/>
        <x:v>216200</x:v>
      </x:c>
      <x:c r="AT67" s="237">
        <x:f t="shared" si="31"/>
        <x:v>216200</x:v>
      </x:c>
      <x:c r="AU67" s="234" t="s">
        <x:v>60</x:v>
      </x:c>
      <x:c r="AV67" s="107">
        <x:v>20000</x:v>
      </x:c>
      <x:c r="AW67" s="38">
        <x:f t="shared" si="32"/>
        <x:v>149000</x:v>
      </x:c>
      <x:c r="AX67" s="38">
        <x:f t="shared" si="33"/>
        <x:v>216200</x:v>
      </x:c>
      <x:c r="AY67" s="38">
        <x:f t="shared" si="34"/>
        <x:v>216200</x:v>
      </x:c>
      <x:c r="AZ67" s="38">
        <x:f t="shared" si="35"/>
        <x:v>216200</x:v>
      </x:c>
      <x:c r="BA67" s="235" t="s">
        <x:v>60</x:v>
      </x:c>
      <x:c r="BB67" s="107" t="s">
        <x:v>60</x:v>
      </x:c>
      <x:c r="BC67" s="38">
        <x:f t="shared" si="12"/>
        <x:v>141400</x:v>
      </x:c>
      <x:c r="BD67" s="38">
        <x:f t="shared" si="13"/>
        <x:v>212200</x:v>
      </x:c>
      <x:c r="BE67" s="38">
        <x:f t="shared" si="14"/>
        <x:v>216200</x:v>
      </x:c>
      <x:c r="BF67" s="236">
        <x:f t="shared" si="15"/>
        <x:v>216200</x:v>
      </x:c>
      <x:c r="BG67" s="22"/>
    </x:row>
    <x:row r="68" spans="1:59">
      <x:c r="A68" s="22"/>
      <x:c r="B68" s="37" t="s">
        <x:v>64</x:v>
      </x:c>
      <x:c r="C68" s="229" t="s">
        <x:v>104</x:v>
      </x:c>
      <x:c r="D68" s="229"/>
      <x:c r="E68" s="230" t="s">
        <x:v>6</x:v>
      </x:c>
      <x:c r="F68" s="37">
        <x:v>118</x:v>
      </x:c>
      <x:c r="G68" s="229">
        <x:v>273</x:v>
      </x:c>
      <x:c r="H68" s="229"/>
      <x:c r="I68" s="229">
        <x:v>40</x:v>
      </x:c>
      <x:c r="J68" s="229">
        <x:f t="shared" si="0"/>
        <x:v>431</x:v>
      </x:c>
      <x:c r="K68" s="107">
        <x:f t="shared" si="16"/>
        <x:v>2041000</x:v>
      </x:c>
      <x:c r="L68" s="107">
        <x:f t="shared" si="41"/>
        <x:v>4718000</x:v>
      </x:c>
      <x:c r="M68" s="107"/>
      <x:c r="N68" s="107">
        <x:f t="shared" si="52"/>
        <x:v>694000</x:v>
      </x:c>
      <x:c r="O68" s="231">
        <x:f t="shared" si="17"/>
        <x:v>7453000</x:v>
      </x:c>
      <x:c r="P68" s="37">
        <x:f t="shared" si="18"/>
        <x:v>431</x:v>
      </x:c>
      <x:c r="Q68" s="107">
        <x:f t="shared" si="19"/>
        <x:v>7453000</x:v>
      </x:c>
      <x:c r="R68" s="229">
        <x:f t="shared" si="26"/>
        <x:v>409</x:v>
      </x:c>
      <x:c r="S68" s="107">
        <x:f t="shared" si="20"/>
        <x:v>7074000</x:v>
      </x:c>
      <x:c r="T68" s="232">
        <x:f t="shared" si="1"/>
        <x:v>3726500</x:v>
      </x:c>
      <x:c r="U68" s="107">
        <x:f t="shared" si="2"/>
        <x:v>3726500</x:v>
      </x:c>
      <x:c r="V68" s="231">
        <x:f t="shared" si="3"/>
        <x:v>3537000</x:v>
      </x:c>
      <x:c r="W68" s="37" t="s">
        <x:v>60</x:v>
      </x:c>
      <x:c r="X68" s="107">
        <x:v>20000</x:v>
      </x:c>
      <x:c r="Y68" s="38">
        <x:f t="shared" si="21"/>
        <x:v>216200</x:v>
      </x:c>
      <x:c r="Z68" s="38">
        <x:f t="shared" si="22"/>
        <x:v>216200</x:v>
      </x:c>
      <x:c r="AA68" s="38">
        <x:f t="shared" si="23"/>
        <x:v>216200</x:v>
      </x:c>
      <x:c r="AB68" s="38">
        <x:f t="shared" si="24"/>
        <x:v>216200</x:v>
      </x:c>
      <x:c r="AC68" s="233" t="s">
        <x:v>60</x:v>
      </x:c>
      <x:c r="AD68" s="107">
        <x:v>20000</x:v>
      </x:c>
      <x:c r="AE68" s="38">
        <x:f t="shared" si="4"/>
        <x:v>216200</x:v>
      </x:c>
      <x:c r="AF68" s="38">
        <x:f t="shared" si="5"/>
        <x:v>216200</x:v>
      </x:c>
      <x:c r="AG68" s="38">
        <x:f t="shared" si="6"/>
        <x:v>216200</x:v>
      </x:c>
      <x:c r="AH68" s="38">
        <x:f t="shared" si="7"/>
        <x:v>216200</x:v>
      </x:c>
      <x:c r="AI68" s="234" t="s">
        <x:v>60</x:v>
      </x:c>
      <x:c r="AJ68" s="229" t="s">
        <x:v>60</x:v>
      </x:c>
      <x:c r="AK68" s="38">
        <x:f t="shared" si="8"/>
        <x:v>216200</x:v>
      </x:c>
      <x:c r="AL68" s="38">
        <x:f t="shared" si="9"/>
        <x:v>216200</x:v>
      </x:c>
      <x:c r="AM68" s="38">
        <x:f t="shared" si="10"/>
        <x:v>216200</x:v>
      </x:c>
      <x:c r="AN68" s="237">
        <x:f t="shared" si="11"/>
        <x:v>216200</x:v>
      </x:c>
      <x:c r="AO68" s="234" t="s">
        <x:v>60</x:v>
      </x:c>
      <x:c r="AP68" s="107">
        <x:v>20000</x:v>
      </x:c>
      <x:c r="AQ68" s="38">
        <x:f t="shared" si="28"/>
        <x:v>149000</x:v>
      </x:c>
      <x:c r="AR68" s="38">
        <x:f t="shared" si="29"/>
        <x:v>216200</x:v>
      </x:c>
      <x:c r="AS68" s="38">
        <x:f t="shared" si="30"/>
        <x:v>216200</x:v>
      </x:c>
      <x:c r="AT68" s="237">
        <x:f t="shared" si="31"/>
        <x:v>216200</x:v>
      </x:c>
      <x:c r="AU68" s="234" t="s">
        <x:v>60</x:v>
      </x:c>
      <x:c r="AV68" s="107">
        <x:v>20000</x:v>
      </x:c>
      <x:c r="AW68" s="38">
        <x:f t="shared" si="32"/>
        <x:v>149000</x:v>
      </x:c>
      <x:c r="AX68" s="38">
        <x:f t="shared" si="33"/>
        <x:v>216200</x:v>
      </x:c>
      <x:c r="AY68" s="38">
        <x:f t="shared" si="34"/>
        <x:v>216200</x:v>
      </x:c>
      <x:c r="AZ68" s="38">
        <x:f t="shared" si="35"/>
        <x:v>216200</x:v>
      </x:c>
      <x:c r="BA68" s="235" t="s">
        <x:v>60</x:v>
      </x:c>
      <x:c r="BB68" s="107" t="s">
        <x:v>60</x:v>
      </x:c>
      <x:c r="BC68" s="38">
        <x:f t="shared" si="12"/>
        <x:v>141400</x:v>
      </x:c>
      <x:c r="BD68" s="38">
        <x:f t="shared" si="13"/>
        <x:v>212200</x:v>
      </x:c>
      <x:c r="BE68" s="38">
        <x:f t="shared" si="14"/>
        <x:v>216200</x:v>
      </x:c>
      <x:c r="BF68" s="236">
        <x:f t="shared" si="15"/>
        <x:v>216200</x:v>
      </x:c>
      <x:c r="BG68" s="22"/>
    </x:row>
    <x:row r="69" spans="1:59">
      <x:c r="A69" s="22"/>
      <x:c r="B69" s="37" t="s">
        <x:v>64</x:v>
      </x:c>
      <x:c r="C69" s="229" t="s">
        <x:v>89</x:v>
      </x:c>
      <x:c r="D69" s="229" t="s">
        <x:v>6</x:v>
      </x:c>
      <x:c r="E69" s="230" t="s">
        <x:v>6</x:v>
      </x:c>
      <x:c r="F69" s="37">
        <x:v>118</x:v>
      </x:c>
      <x:c r="G69" s="229">
        <x:v>273</x:v>
      </x:c>
      <x:c r="H69" s="229">
        <x:v>10</x:v>
      </x:c>
      <x:c r="I69" s="229">
        <x:v>40</x:v>
      </x:c>
      <x:c r="J69" s="229">
        <x:f t="shared" si="0"/>
        <x:v>441</x:v>
      </x:c>
      <x:c r="K69" s="107">
        <x:f t="shared" si="16"/>
        <x:v>2041000</x:v>
      </x:c>
      <x:c r="L69" s="107">
        <x:f t="shared" si="41"/>
        <x:v>4718000</x:v>
      </x:c>
      <x:c r="M69" s="107">
        <x:f t="shared" ref="M69:M70" si="53">HLOOKUP($M$10,$I$1:$T$2,2,FALSE)</x:f>
        <x:v>175000</x:v>
      </x:c>
      <x:c r="N69" s="107">
        <x:f t="shared" si="52"/>
        <x:v>694000</x:v>
      </x:c>
      <x:c r="O69" s="231">
        <x:f t="shared" si="17"/>
        <x:v>7628000</x:v>
      </x:c>
      <x:c r="P69" s="37">
        <x:f t="shared" si="18"/>
        <x:v>441</x:v>
      </x:c>
      <x:c r="Q69" s="107">
        <x:f t="shared" si="19"/>
        <x:v>7628000</x:v>
      </x:c>
      <x:c r="R69" s="229">
        <x:f t="shared" si="26"/>
        <x:v>419</x:v>
      </x:c>
      <x:c r="S69" s="107">
        <x:f t="shared" si="20"/>
        <x:v>7249000</x:v>
      </x:c>
      <x:c r="T69" s="232">
        <x:f t="shared" si="1"/>
        <x:v>3814000</x:v>
      </x:c>
      <x:c r="U69" s="107">
        <x:f t="shared" si="2"/>
        <x:v>3814000</x:v>
      </x:c>
      <x:c r="V69" s="231">
        <x:f t="shared" si="3"/>
        <x:v>3624500</x:v>
      </x:c>
      <x:c r="W69" s="37" t="s">
        <x:v>60</x:v>
      </x:c>
      <x:c r="X69" s="107">
        <x:v>20000</x:v>
      </x:c>
      <x:c r="Y69" s="38">
        <x:f t="shared" si="21"/>
        <x:v>216200</x:v>
      </x:c>
      <x:c r="Z69" s="38">
        <x:f t="shared" si="22"/>
        <x:v>216200</x:v>
      </x:c>
      <x:c r="AA69" s="38">
        <x:f t="shared" si="23"/>
        <x:v>216200</x:v>
      </x:c>
      <x:c r="AB69" s="38">
        <x:f t="shared" si="24"/>
        <x:v>216200</x:v>
      </x:c>
      <x:c r="AC69" s="233" t="s">
        <x:v>60</x:v>
      </x:c>
      <x:c r="AD69" s="107">
        <x:v>20000</x:v>
      </x:c>
      <x:c r="AE69" s="38">
        <x:f t="shared" si="4"/>
        <x:v>216200</x:v>
      </x:c>
      <x:c r="AF69" s="38">
        <x:f t="shared" si="5"/>
        <x:v>216200</x:v>
      </x:c>
      <x:c r="AG69" s="38">
        <x:f t="shared" si="6"/>
        <x:v>216200</x:v>
      </x:c>
      <x:c r="AH69" s="38">
        <x:f t="shared" si="7"/>
        <x:v>216200</x:v>
      </x:c>
      <x:c r="AI69" s="234" t="s">
        <x:v>60</x:v>
      </x:c>
      <x:c r="AJ69" s="229" t="s">
        <x:v>60</x:v>
      </x:c>
      <x:c r="AK69" s="38">
        <x:f t="shared" si="8"/>
        <x:v>216200</x:v>
      </x:c>
      <x:c r="AL69" s="38">
        <x:f t="shared" si="9"/>
        <x:v>216200</x:v>
      </x:c>
      <x:c r="AM69" s="38">
        <x:f t="shared" si="10"/>
        <x:v>216200</x:v>
      </x:c>
      <x:c r="AN69" s="237">
        <x:f t="shared" si="11"/>
        <x:v>216200</x:v>
      </x:c>
      <x:c r="AO69" s="234" t="s">
        <x:v>60</x:v>
      </x:c>
      <x:c r="AP69" s="107">
        <x:v>20000</x:v>
      </x:c>
      <x:c r="AQ69" s="38">
        <x:f t="shared" si="28"/>
        <x:v>152500</x:v>
      </x:c>
      <x:c r="AR69" s="38">
        <x:f t="shared" si="29"/>
        <x:v>216200</x:v>
      </x:c>
      <x:c r="AS69" s="38">
        <x:f t="shared" si="30"/>
        <x:v>216200</x:v>
      </x:c>
      <x:c r="AT69" s="237">
        <x:f t="shared" si="31"/>
        <x:v>216200</x:v>
      </x:c>
      <x:c r="AU69" s="234" t="s">
        <x:v>60</x:v>
      </x:c>
      <x:c r="AV69" s="107">
        <x:v>20000</x:v>
      </x:c>
      <x:c r="AW69" s="38">
        <x:f t="shared" si="32"/>
        <x:v>152500</x:v>
      </x:c>
      <x:c r="AX69" s="38">
        <x:f t="shared" si="33"/>
        <x:v>216200</x:v>
      </x:c>
      <x:c r="AY69" s="38">
        <x:f t="shared" si="34"/>
        <x:v>216200</x:v>
      </x:c>
      <x:c r="AZ69" s="38">
        <x:f t="shared" si="35"/>
        <x:v>216200</x:v>
      </x:c>
      <x:c r="BA69" s="235" t="s">
        <x:v>60</x:v>
      </x:c>
      <x:c r="BB69" s="107" t="s">
        <x:v>60</x:v>
      </x:c>
      <x:c r="BC69" s="38">
        <x:f t="shared" si="12"/>
        <x:v>144900</x:v>
      </x:c>
      <x:c r="BD69" s="38">
        <x:f t="shared" si="13"/>
        <x:v>216200</x:v>
      </x:c>
      <x:c r="BE69" s="38">
        <x:f t="shared" si="14"/>
        <x:v>216200</x:v>
      </x:c>
      <x:c r="BF69" s="236">
        <x:f t="shared" si="15"/>
        <x:v>216200</x:v>
      </x:c>
      <x:c r="BG69" s="22"/>
    </x:row>
    <x:row r="70" spans="1:59">
      <x:c r="A70" s="22"/>
      <x:c r="B70" s="49" t="s">
        <x:v>64</x:v>
      </x:c>
      <x:c r="C70" s="238" t="s">
        <x:v>104</x:v>
      </x:c>
      <x:c r="D70" s="238" t="s">
        <x:v>6</x:v>
      </x:c>
      <x:c r="E70" s="239" t="s">
        <x:v>6</x:v>
      </x:c>
      <x:c r="F70" s="49">
        <x:v>118</x:v>
      </x:c>
      <x:c r="G70" s="238">
        <x:v>273</x:v>
      </x:c>
      <x:c r="H70" s="238">
        <x:v>10</x:v>
      </x:c>
      <x:c r="I70" s="238">
        <x:v>40</x:v>
      </x:c>
      <x:c r="J70" s="238">
        <x:f t="shared" si="0"/>
        <x:v>441</x:v>
      </x:c>
      <x:c r="K70" s="155">
        <x:f t="shared" si="16"/>
        <x:v>2041000</x:v>
      </x:c>
      <x:c r="L70" s="155">
        <x:f t="shared" si="41"/>
        <x:v>4718000</x:v>
      </x:c>
      <x:c r="M70" s="155">
        <x:f t="shared" si="53"/>
        <x:v>175000</x:v>
      </x:c>
      <x:c r="N70" s="155">
        <x:f t="shared" si="52"/>
        <x:v>694000</x:v>
      </x:c>
      <x:c r="O70" s="240">
        <x:f t="shared" si="17"/>
        <x:v>7628000</x:v>
      </x:c>
      <x:c r="P70" s="49">
        <x:f t="shared" si="18"/>
        <x:v>441</x:v>
      </x:c>
      <x:c r="Q70" s="107">
        <x:f t="shared" si="19"/>
        <x:v>7628000</x:v>
      </x:c>
      <x:c r="R70" s="238">
        <x:f t="shared" si="26"/>
        <x:v>419</x:v>
      </x:c>
      <x:c r="S70" s="155">
        <x:f t="shared" si="20"/>
        <x:v>7249000</x:v>
      </x:c>
      <x:c r="T70" s="241">
        <x:f t="shared" si="1"/>
        <x:v>3814000</x:v>
      </x:c>
      <x:c r="U70" s="155">
        <x:f t="shared" si="2"/>
        <x:v>3814000</x:v>
      </x:c>
      <x:c r="V70" s="240">
        <x:f t="shared" si="3"/>
        <x:v>3624500</x:v>
      </x:c>
      <x:c r="W70" s="49" t="s">
        <x:v>60</x:v>
      </x:c>
      <x:c r="X70" s="155">
        <x:v>20000</x:v>
      </x:c>
      <x:c r="Y70" s="50">
        <x:f t="shared" si="21"/>
        <x:v>216200</x:v>
      </x:c>
      <x:c r="Z70" s="50">
        <x:f t="shared" si="22"/>
        <x:v>216200</x:v>
      </x:c>
      <x:c r="AA70" s="50">
        <x:f t="shared" si="23"/>
        <x:v>216200</x:v>
      </x:c>
      <x:c r="AB70" s="242">
        <x:f t="shared" si="24"/>
        <x:v>216200</x:v>
      </x:c>
      <x:c r="AC70" s="243" t="s">
        <x:v>60</x:v>
      </x:c>
      <x:c r="AD70" s="155">
        <x:v>20000</x:v>
      </x:c>
      <x:c r="AE70" s="50">
        <x:f t="shared" si="4"/>
        <x:v>216200</x:v>
      </x:c>
      <x:c r="AF70" s="50">
        <x:f t="shared" si="5"/>
        <x:v>216200</x:v>
      </x:c>
      <x:c r="AG70" s="50">
        <x:f t="shared" si="6"/>
        <x:v>216200</x:v>
      </x:c>
      <x:c r="AH70" s="244">
        <x:f t="shared" si="7"/>
        <x:v>216200</x:v>
      </x:c>
      <x:c r="AI70" s="245" t="s">
        <x:v>60</x:v>
      </x:c>
      <x:c r="AJ70" s="238" t="s">
        <x:v>60</x:v>
      </x:c>
      <x:c r="AK70" s="50">
        <x:f t="shared" si="8"/>
        <x:v>216200</x:v>
      </x:c>
      <x:c r="AL70" s="50">
        <x:f t="shared" si="9"/>
        <x:v>216200</x:v>
      </x:c>
      <x:c r="AM70" s="50">
        <x:f t="shared" si="10"/>
        <x:v>216200</x:v>
      </x:c>
      <x:c r="AN70" s="244">
        <x:f t="shared" si="11"/>
        <x:v>216200</x:v>
      </x:c>
      <x:c r="AO70" s="245" t="s">
        <x:v>60</x:v>
      </x:c>
      <x:c r="AP70" s="155">
        <x:v>20000</x:v>
      </x:c>
      <x:c r="AQ70" s="50">
        <x:f t="shared" si="28"/>
        <x:v>152500</x:v>
      </x:c>
      <x:c r="AR70" s="50">
        <x:f t="shared" si="29"/>
        <x:v>216200</x:v>
      </x:c>
      <x:c r="AS70" s="50">
        <x:f t="shared" si="30"/>
        <x:v>216200</x:v>
      </x:c>
      <x:c r="AT70" s="244">
        <x:f t="shared" si="31"/>
        <x:v>216200</x:v>
      </x:c>
      <x:c r="AU70" s="245" t="s">
        <x:v>60</x:v>
      </x:c>
      <x:c r="AV70" s="155">
        <x:v>20000</x:v>
      </x:c>
      <x:c r="AW70" s="50">
        <x:f t="shared" si="32"/>
        <x:v>152500</x:v>
      </x:c>
      <x:c r="AX70" s="50">
        <x:f t="shared" si="33"/>
        <x:v>216200</x:v>
      </x:c>
      <x:c r="AY70" s="50">
        <x:f t="shared" si="34"/>
        <x:v>216200</x:v>
      </x:c>
      <x:c r="AZ70" s="50">
        <x:f t="shared" si="35"/>
        <x:v>216200</x:v>
      </x:c>
      <x:c r="BA70" s="246" t="s">
        <x:v>60</x:v>
      </x:c>
      <x:c r="BB70" s="107" t="s">
        <x:v>60</x:v>
      </x:c>
      <x:c r="BC70" s="50">
        <x:f t="shared" si="12"/>
        <x:v>144900</x:v>
      </x:c>
      <x:c r="BD70" s="50">
        <x:f t="shared" si="13"/>
        <x:v>216200</x:v>
      </x:c>
      <x:c r="BE70" s="50">
        <x:f t="shared" si="14"/>
        <x:v>216200</x:v>
      </x:c>
      <x:c r="BF70" s="247">
        <x:f t="shared" si="15"/>
        <x:v>216200</x:v>
      </x:c>
      <x:c r="BG70" s="22"/>
    </x:row>
    <x:row r="71" spans="1:59">
      <x:c r="A71" s="22"/>
      <x:c r="B71" s="22"/>
      <x:c r="C71" s="22"/>
      <x:c r="D71" s="22"/>
      <x:c r="E71" s="22"/>
      <x:c r="F71" s="22"/>
      <x:c r="G71" s="22"/>
      <x:c r="H71" s="22"/>
      <x:c r="I71" s="22"/>
      <x:c r="J71" s="22"/>
      <x:c r="K71" s="163"/>
      <x:c r="L71" s="164"/>
      <x:c r="M71" s="164"/>
      <x:c r="N71" s="12"/>
      <x:c r="O71" s="12"/>
      <x:c r="P71" s="23"/>
      <x:c r="Q71" s="22"/>
      <x:c r="R71" s="23"/>
      <x:c r="S71" s="23"/>
      <x:c r="T71" s="156"/>
      <x:c r="U71" s="22"/>
      <x:c r="V71" s="157"/>
      <x:c r="W71" s="157"/>
      <x:c r="X71" s="157"/>
      <x:c r="Y71" s="156"/>
      <x:c r="Z71" s="156"/>
      <x:c r="AA71" s="156"/>
      <x:c r="AB71" s="157"/>
      <x:c r="AC71" s="22"/>
      <x:c r="AD71" s="22"/>
      <x:c r="AE71" s="157"/>
      <x:c r="AF71" s="157"/>
      <x:c r="AG71" s="157"/>
      <x:c r="AH71" s="157"/>
      <x:c r="AI71" s="22"/>
      <x:c r="AJ71" s="22"/>
      <x:c r="AK71" s="158"/>
      <x:c r="AL71" s="158"/>
      <x:c r="AM71" s="158"/>
      <x:c r="AN71" s="156"/>
      <x:c r="AO71" s="22"/>
      <x:c r="AP71" s="22"/>
      <x:c r="AQ71" s="156"/>
      <x:c r="AR71" s="159"/>
      <x:c r="AS71" s="159"/>
      <x:c r="AT71" s="22"/>
      <x:c r="AU71" s="22"/>
      <x:c r="AV71" s="22"/>
      <x:c r="AW71" s="156"/>
      <x:c r="AX71" s="159"/>
      <x:c r="AY71" s="159"/>
      <x:c r="AZ71" s="22"/>
      <x:c r="BA71" s="22"/>
      <x:c r="BB71" s="22"/>
      <x:c r="BC71" s="22"/>
      <x:c r="BD71" s="22"/>
      <x:c r="BE71" s="22"/>
      <x:c r="BF71" s="22"/>
      <x:c r="BG71" s="22"/>
    </x:row>
    <x:row r="72" spans="1:59">
      <x:c r="A72" s="22"/>
      <x:c r="B72" s="22"/>
      <x:c r="C72" s="22"/>
      <x:c r="D72" s="22"/>
      <x:c r="E72" s="22"/>
      <x:c r="F72" s="22"/>
      <x:c r="G72" s="22"/>
      <x:c r="H72" s="22"/>
      <x:c r="I72" s="22"/>
      <x:c r="J72" s="22"/>
      <x:c r="K72" s="163"/>
      <x:c r="L72" s="164"/>
      <x:c r="M72" s="164"/>
      <x:c r="N72" s="12"/>
      <x:c r="O72" s="12"/>
      <x:c r="P72" s="23"/>
      <x:c r="Q72" s="22"/>
      <x:c r="R72" s="23"/>
      <x:c r="S72" s="23"/>
      <x:c r="T72" s="156"/>
      <x:c r="U72" s="22"/>
      <x:c r="V72" s="157"/>
      <x:c r="W72" s="157"/>
      <x:c r="X72" s="157"/>
      <x:c r="Y72" s="156"/>
      <x:c r="Z72" s="156"/>
      <x:c r="AA72" s="156"/>
      <x:c r="AB72" s="157"/>
      <x:c r="AC72" s="22"/>
      <x:c r="AD72" s="22"/>
      <x:c r="AE72" s="157"/>
      <x:c r="AF72" s="157"/>
      <x:c r="AG72" s="157"/>
      <x:c r="AH72" s="157"/>
      <x:c r="AI72" s="22"/>
      <x:c r="AJ72" s="22"/>
      <x:c r="AK72" s="158"/>
      <x:c r="AL72" s="158"/>
      <x:c r="AM72" s="158"/>
      <x:c r="AN72" s="156"/>
      <x:c r="AO72" s="22"/>
      <x:c r="AP72" s="22"/>
      <x:c r="AQ72" s="156"/>
      <x:c r="AR72" s="159"/>
      <x:c r="AS72" s="159"/>
      <x:c r="AT72" s="22"/>
      <x:c r="AU72" s="22"/>
      <x:c r="AV72" s="22"/>
      <x:c r="AW72" s="156"/>
      <x:c r="AX72" s="159"/>
      <x:c r="AY72" s="159"/>
      <x:c r="AZ72" s="22"/>
      <x:c r="BA72" s="22"/>
      <x:c r="BB72" s="22"/>
      <x:c r="BC72" s="22"/>
      <x:c r="BD72" s="22"/>
      <x:c r="BE72" s="22"/>
      <x:c r="BF72" s="22"/>
      <x:c r="BG72" s="22"/>
    </x:row>
  </x:sheetData>
  <x:mergeCells count="30">
    <x:mergeCell ref="B4:O4"/>
    <x:mergeCell ref="B5:F5"/>
    <x:mergeCell ref="G5:N5"/>
    <x:mergeCell ref="B6:O6"/>
    <x:mergeCell ref="B8:E8"/>
    <x:mergeCell ref="J8:O8"/>
    <x:mergeCell ref="P8:S8"/>
    <x:mergeCell ref="T8:V8"/>
    <x:mergeCell ref="W8:BF8"/>
    <x:mergeCell ref="B9:B10"/>
    <x:mergeCell ref="C9:C10"/>
    <x:mergeCell ref="D9:E9"/>
    <x:mergeCell ref="F9:F10"/>
    <x:mergeCell ref="G9:G10"/>
    <x:mergeCell ref="H9:I9"/>
    <x:mergeCell ref="J9:J10"/>
    <x:mergeCell ref="K9:K10"/>
    <x:mergeCell ref="L9:L10"/>
    <x:mergeCell ref="M9:N9"/>
    <x:mergeCell ref="O9:O10"/>
    <x:mergeCell ref="P9:S9"/>
    <x:mergeCell ref="T9:V9"/>
    <x:mergeCell ref="W9:AB9"/>
    <x:mergeCell ref="AC9:AH9"/>
    <x:mergeCell ref="AI9:AN9"/>
    <x:mergeCell ref="AO9:AT9"/>
    <x:mergeCell ref="AU9:AZ9"/>
    <x:mergeCell ref="BA9:BF9"/>
    <x:mergeCell ref="P10:Q10"/>
    <x:mergeCell ref="R10:S10"/>
  </x:mergeCells>
  <x:pageMargins left="0.74805557727813720703" right="0.74805557727813720703" top="0.98430556058883666992" bottom="0.98430556058883666992" header="0.51180553436279296875" footer="0.51180553436279296875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2:S24"/>
  <x:sheetViews>
    <x:sheetView tabSelected="1" topLeftCell="A7" zoomScaleNormal="100" zoomScaleSheetLayoutView="100" workbookViewId="0">
      <x:selection activeCell="D28" activeCellId="0" sqref="D28:D28"/>
    </x:sheetView>
  </x:sheetViews>
  <x:sheetFormatPr defaultColWidth="8.796875" defaultRowHeight="16.39999999999999857891"/>
  <x:cols>
    <x:col min="2" max="20" width="11.77734375" customWidth="1"/>
  </x:cols>
  <x:sheetData>
    <x:row r="2" spans="1:19">
      <x:c r="A2" s="248" t="s">
        <x:v>106</x:v>
      </x:c>
      <x:c r="B2" s="154" t="s">
        <x:v>109</x:v>
      </x:c>
      <x:c r="C2" s="154" t="s">
        <x:v>61</x:v>
      </x:c>
      <x:c r="D2" s="1" t="s">
        <x:v>63</x:v>
      </x:c>
      <x:c r="E2" s="2" t="s">
        <x:v>30</x:v>
      </x:c>
      <x:c r="F2" s="2" t="s">
        <x:v>27</x:v>
      </x:c>
      <x:c r="G2" s="2" t="s">
        <x:v>28</x:v>
      </x:c>
      <x:c r="H2" s="2" t="s">
        <x:v>29</x:v>
      </x:c>
      <x:c r="I2" s="2" t="s">
        <x:v>35</x:v>
      </x:c>
      <x:c r="J2" s="2" t="s">
        <x:v>33</x:v>
      </x:c>
      <x:c r="K2" s="2" t="s">
        <x:v>71</x:v>
      </x:c>
      <x:c r="L2" s="2" t="s">
        <x:v>73</x:v>
      </x:c>
      <x:c r="M2" s="2" t="s">
        <x:v>74</x:v>
      </x:c>
      <x:c r="N2" s="2" t="s">
        <x:v>75</x:v>
      </x:c>
      <x:c r="O2" s="2" t="s">
        <x:v>76</x:v>
      </x:c>
      <x:c r="P2" s="2" t="s">
        <x:v>68</x:v>
      </x:c>
      <x:c r="Q2" s="2" t="s">
        <x:v>69</x:v>
      </x:c>
      <x:c r="R2" s="2" t="s">
        <x:v>70</x:v>
      </x:c>
      <x:c r="S2" s="2" t="s">
        <x:v>72</x:v>
      </x:c>
    </x:row>
    <x:row r="3" spans="1:19">
      <x:c r="A3" s="248"/>
      <x:c r="B3" s="154"/>
      <x:c r="C3" s="154"/>
      <x:c r="D3" s="3"/>
      <x:c r="E3" s="4">
        <x:v>1040000</x:v>
      </x:c>
      <x:c r="F3" s="4">
        <x:v>1558000</x:v>
      </x:c>
      <x:c r="G3" s="4">
        <x:v>2076000</x:v>
      </x:c>
      <x:c r="H3" s="4">
        <x:v>2593000</x:v>
      </x:c>
      <x:c r="I3" s="4">
        <x:v>3112000</x:v>
      </x:c>
      <x:c r="J3" s="4">
        <x:v>3629000</x:v>
      </x:c>
      <x:c r="K3" s="4">
        <x:v>4148000</x:v>
      </x:c>
      <x:c r="L3" s="4">
        <x:v>4665000</x:v>
      </x:c>
      <x:c r="M3" s="4">
        <x:v>5181000</x:v>
      </x:c>
      <x:c r="N3" s="4">
        <x:v>5703000</x:v>
      </x:c>
      <x:c r="O3" s="4">
        <x:v>6221000</x:v>
      </x:c>
      <x:c r="P3" s="4">
        <x:v>6739000</x:v>
      </x:c>
      <x:c r="Q3" s="4">
        <x:v>7257000</x:v>
      </x:c>
      <x:c r="R3" s="4">
        <x:v>7774000</x:v>
      </x:c>
      <x:c r="S3" s="4">
        <x:v>8293000</x:v>
      </x:c>
    </x:row>
    <x:row r="4" spans="1:19">
      <x:c r="A4" s="249"/>
      <x:c r="B4" s="5" t="s">
        <x:v>34</x:v>
      </x:c>
      <x:c r="C4" s="6">
        <x:v>0.040000000000000002</x:v>
      </x:c>
      <x:c r="D4" s="7">
        <x:f>IF(ROUNDDOWN(D$15*$C4,-2)&gt;'[1]산정특례'!$U$4,'[1]산정특례'!$U$4,ROUNDDOWN(D$15*$C4,-2))</x:f>
        <x:v>0</x:v>
      </x:c>
      <x:c r="E4" s="8">
        <x:f>IF(ROUNDDOWN(E$15*$C4,-2)&gt;'[1]산정특례'!$U$4,'[1]산정특례'!$U$4,ROUNDDOWN(E$15*$C4,-2))</x:f>
        <x:v>26400</x:v>
      </x:c>
      <x:c r="F4" s="8">
        <x:f>IF(ROUNDDOWN(F$15*$C4,-2)&gt;'[1]산정특례'!$U$4,'[1]산정특례'!$U$4,ROUNDDOWN(F$15*$C4,-2))</x:f>
        <x:v>47100</x:v>
      </x:c>
      <x:c r="G4" s="8">
        <x:f>IF(ROUNDDOWN(G$15*$C4,-2)&gt;'[1]산정특례'!$U$4,'[1]산정특례'!$U$4,ROUNDDOWN(G$15*$C4,-2))</x:f>
        <x:v>67800</x:v>
      </x:c>
      <x:c r="H4" s="8">
        <x:f>IF(ROUNDDOWN(H$15*$C4,-2)&gt;'[1]산정특례'!$U$4,'[1]산정특례'!$U$4,ROUNDDOWN(H$15*$C4,-2))</x:f>
        <x:v>88500</x:v>
      </x:c>
      <x:c r="I4" s="8">
        <x:f>IF(ROUNDDOWN(I$15*$C4,-2)&gt;'[1]산정특례'!$U$4,'[1]산정특례'!$U$4,ROUNDDOWN(I$15*$C4,-2))</x:f>
        <x:v>109300</x:v>
      </x:c>
      <x:c r="J4" s="8">
        <x:f>IF(ROUNDDOWN(J$15*$C4,-2)&gt;'[1]산정특례'!$U$4,'[1]산정특례'!$U$4,ROUNDDOWN(J$15*$C4,-2))</x:f>
        <x:v>130000</x:v>
      </x:c>
      <x:c r="K4" s="8">
        <x:f>IF(ROUNDDOWN(K$15*$C4,-2)&gt;'[1]산정특례'!$U$4,'[1]산정특례'!$U$4,ROUNDDOWN(K$15*$C4,-2))</x:f>
        <x:v>150700</x:v>
      </x:c>
      <x:c r="L4" s="8">
        <x:f>IF(ROUNDDOWN(L$15*$C4,-2)&gt;'[1]산정특례'!$U$4,'[1]산정특례'!$U$4,ROUNDDOWN(L$15*$C4,-2))</x:f>
        <x:v>171400</x:v>
      </x:c>
      <x:c r="M4" s="8">
        <x:f>IF(ROUNDDOWN(M$15*$C4,-2)&gt;'[1]산정특례'!$U$4,'[1]산정특례'!$U$4,ROUNDDOWN(M$15*$C4,-2))</x:f>
        <x:v>192000</x:v>
      </x:c>
      <x:c r="N4" s="8">
        <x:f>IF(ROUNDDOWN(N$15*$C4,-2)&gt;'[1]산정특례'!$U$4,'[1]산정특례'!$U$4,ROUNDDOWN(N$15*$C4,-2))</x:f>
        <x:v>212900</x:v>
      </x:c>
      <x:c r="O4" s="8">
        <x:f>IF(ROUNDDOWN(O$15*$C4,-2)&gt;'[1]산정특례'!$U$4,'[1]산정특례'!$U$4,ROUNDDOWN(O$15*$C4,-2))</x:f>
        <x:v>216200</x:v>
      </x:c>
      <x:c r="P4" s="8">
        <x:f>IF(ROUNDDOWN(P$15*$C4,-2)&gt;'[1]산정특례'!$U$4,'[1]산정특례'!$U$4,ROUNDDOWN(P$15*$C4,-2))</x:f>
        <x:v>216200</x:v>
      </x:c>
      <x:c r="Q4" s="8">
        <x:f>IF(ROUNDDOWN(Q$15*$C4,-2)&gt;'[1]산정특례'!$U$4,'[1]산정특례'!$U$4,ROUNDDOWN(Q$15*$C4,-2))</x:f>
        <x:v>216200</x:v>
      </x:c>
      <x:c r="R4" s="8">
        <x:f>IF(ROUNDDOWN(R$15*$C4,-2)&gt;'[1]산정특례'!$U$4,'[1]산정특례'!$U$4,ROUNDDOWN(R$15*$C4,-2))</x:f>
        <x:v>216200</x:v>
      </x:c>
      <x:c r="S4" s="8">
        <x:f>IF(ROUNDDOWN(S$15*$C4,-2)&gt;'[1]산정특례'!$U$4,'[1]산정특례'!$U$4,ROUNDDOWN(S$15*$C4,-2))</x:f>
        <x:v>216200</x:v>
      </x:c>
    </x:row>
    <x:row r="5" spans="1:19">
      <x:c r="A5" s="249"/>
      <x:c r="B5" s="5" t="s">
        <x:v>32</x:v>
      </x:c>
      <x:c r="C5" s="6">
        <x:v>0.059999999999999998</x:v>
      </x:c>
      <x:c r="D5" s="7">
        <x:f>IF(ROUNDDOWN(D$15*$C5,-2)&gt;'[1]산정특례'!$U$4,'[1]산정특례'!$U$4,ROUNDDOWN(D$15*$C5,-2))</x:f>
        <x:v>0</x:v>
      </x:c>
      <x:c r="E5" s="8">
        <x:f>IF(ROUNDDOWN(E$15*$C5,-2)&gt;'[1]산정특례'!$U$4,'[1]산정특례'!$U$4,ROUNDDOWN(E$15*$C5,-2))</x:f>
        <x:v>39600</x:v>
      </x:c>
      <x:c r="F5" s="8">
        <x:f>IF(ROUNDDOWN(F$15*$C5,-2)&gt;'[1]산정특례'!$U$4,'[1]산정특례'!$U$4,ROUNDDOWN(F$15*$C5,-2))</x:f>
        <x:v>70700</x:v>
      </x:c>
      <x:c r="G5" s="8">
        <x:f>IF(ROUNDDOWN(G$15*$C5,-2)&gt;'[1]산정특례'!$U$4,'[1]산정특례'!$U$4,ROUNDDOWN(G$15*$C5,-2))</x:f>
        <x:v>101800</x:v>
      </x:c>
      <x:c r="H5" s="8">
        <x:f>IF(ROUNDDOWN(H$15*$C5,-2)&gt;'[1]산정특례'!$U$4,'[1]산정특례'!$U$4,ROUNDDOWN(H$15*$C5,-2))</x:f>
        <x:v>132800</x:v>
      </x:c>
      <x:c r="I5" s="8">
        <x:f>IF(ROUNDDOWN(I$15*$C5,-2)&gt;'[1]산정특례'!$U$4,'[1]산정특례'!$U$4,ROUNDDOWN(I$15*$C5,-2))</x:f>
        <x:v>163900</x:v>
      </x:c>
      <x:c r="J5" s="8">
        <x:f>IF(ROUNDDOWN(J$15*$C5,-2)&gt;'[1]산정특례'!$U$4,'[1]산정특례'!$U$4,ROUNDDOWN(J$15*$C5,-2))</x:f>
        <x:v>195000</x:v>
      </x:c>
      <x:c r="K5" s="8">
        <x:f>IF(ROUNDDOWN(K$15*$C5,-2)&gt;'[1]산정특례'!$U$4,'[1]산정특례'!$U$4,ROUNDDOWN(K$15*$C5,-2))</x:f>
        <x:v>216200</x:v>
      </x:c>
      <x:c r="L5" s="8">
        <x:f>IF(ROUNDDOWN(L$15*$C5,-2)&gt;'[1]산정특례'!$U$4,'[1]산정특례'!$U$4,ROUNDDOWN(L$15*$C5,-2))</x:f>
        <x:v>216200</x:v>
      </x:c>
      <x:c r="M5" s="8">
        <x:f>IF(ROUNDDOWN(M$15*$C5,-2)&gt;'[1]산정특례'!$U$4,'[1]산정특례'!$U$4,ROUNDDOWN(M$15*$C5,-2))</x:f>
        <x:v>216200</x:v>
      </x:c>
      <x:c r="N5" s="8">
        <x:f>IF(ROUNDDOWN(N$15*$C5,-2)&gt;'[1]산정특례'!$U$4,'[1]산정특례'!$U$4,ROUNDDOWN(N$15*$C5,-2))</x:f>
        <x:v>216200</x:v>
      </x:c>
      <x:c r="O5" s="8">
        <x:f>IF(ROUNDDOWN(O$15*$C5,-2)&gt;'[1]산정특례'!$U$4,'[1]산정특례'!$U$4,ROUNDDOWN(O$15*$C5,-2))</x:f>
        <x:v>216200</x:v>
      </x:c>
      <x:c r="P5" s="8">
        <x:f>IF(ROUNDDOWN(P$15*$C5,-2)&gt;'[1]산정특례'!$U$4,'[1]산정특례'!$U$4,ROUNDDOWN(P$15*$C5,-2))</x:f>
        <x:v>216200</x:v>
      </x:c>
      <x:c r="Q5" s="8">
        <x:f>IF(ROUNDDOWN(Q$15*$C5,-2)&gt;'[1]산정특례'!$U$4,'[1]산정특례'!$U$4,ROUNDDOWN(Q$15*$C5,-2))</x:f>
        <x:v>216200</x:v>
      </x:c>
      <x:c r="R5" s="8">
        <x:f>IF(ROUNDDOWN(R$15*$C5,-2)&gt;'[1]산정특례'!$U$4,'[1]산정특례'!$U$4,ROUNDDOWN(R$15*$C5,-2))</x:f>
        <x:v>216200</x:v>
      </x:c>
      <x:c r="S5" s="8">
        <x:f>IF(ROUNDDOWN(S$15*$C5,-2)&gt;'[1]산정특례'!$U$4,'[1]산정특례'!$U$4,ROUNDDOWN(S$15*$C5,-2))</x:f>
        <x:v>216200</x:v>
      </x:c>
    </x:row>
    <x:row r="6" spans="1:19">
      <x:c r="A6" s="249"/>
      <x:c r="B6" s="5" t="s">
        <x:v>36</x:v>
      </x:c>
      <x:c r="C6" s="6">
        <x:v>0.080000000000000004</x:v>
      </x:c>
      <x:c r="D6" s="7">
        <x:f>IF(ROUNDDOWN(D$15*$C6,-2)&gt;'[1]산정특례'!$U$4,'[1]산정특례'!$U$4,ROUNDDOWN(D$15*$C6,-2))</x:f>
        <x:v>0</x:v>
      </x:c>
      <x:c r="E6" s="8">
        <x:f>IF(ROUNDDOWN(E$15*$C6,-2)&gt;'[1]산정특례'!$U$4,'[1]산정특례'!$U$4,ROUNDDOWN(E$15*$C6,-2))</x:f>
        <x:v>52800</x:v>
      </x:c>
      <x:c r="F6" s="8">
        <x:f>IF(ROUNDDOWN(F$15*$C6,-2)&gt;'[1]산정특례'!$U$4,'[1]산정특례'!$U$4,ROUNDDOWN(F$15*$C6,-2))</x:f>
        <x:v>94300</x:v>
      </x:c>
      <x:c r="G6" s="8">
        <x:f>IF(ROUNDDOWN(G$15*$C6,-2)&gt;'[1]산정특례'!$U$4,'[1]산정특례'!$U$4,ROUNDDOWN(G$15*$C6,-2))</x:f>
        <x:v>135700</x:v>
      </x:c>
      <x:c r="H6" s="8">
        <x:f>IF(ROUNDDOWN(H$15*$C6,-2)&gt;'[1]산정특례'!$U$4,'[1]산정특례'!$U$4,ROUNDDOWN(H$15*$C6,-2))</x:f>
        <x:v>177100</x:v>
      </x:c>
      <x:c r="I6" s="8">
        <x:f>IF(ROUNDDOWN(I$15*$C6,-2)&gt;'[1]산정특례'!$U$4,'[1]산정특례'!$U$4,ROUNDDOWN(I$15*$C6,-2))</x:f>
        <x:v>216200</x:v>
      </x:c>
      <x:c r="J6" s="8">
        <x:f>IF(ROUNDDOWN(J$15*$C6,-2)&gt;'[1]산정특례'!$U$4,'[1]산정특례'!$U$4,ROUNDDOWN(J$15*$C6,-2))</x:f>
        <x:v>216200</x:v>
      </x:c>
      <x:c r="K6" s="8">
        <x:f>IF(ROUNDDOWN(K$15*$C6,-2)&gt;'[1]산정특례'!$U$4,'[1]산정특례'!$U$4,ROUNDDOWN(K$15*$C6,-2))</x:f>
        <x:v>216200</x:v>
      </x:c>
      <x:c r="L6" s="8">
        <x:f>IF(ROUNDDOWN(L$15*$C6,-2)&gt;'[1]산정특례'!$U$4,'[1]산정특례'!$U$4,ROUNDDOWN(L$15*$C6,-2))</x:f>
        <x:v>216200</x:v>
      </x:c>
      <x:c r="M6" s="8">
        <x:f>IF(ROUNDDOWN(M$15*$C6,-2)&gt;'[1]산정특례'!$U$4,'[1]산정특례'!$U$4,ROUNDDOWN(M$15*$C6,-2))</x:f>
        <x:v>216200</x:v>
      </x:c>
      <x:c r="N6" s="8">
        <x:f>IF(ROUNDDOWN(N$15*$C6,-2)&gt;'[1]산정특례'!$U$4,'[1]산정특례'!$U$4,ROUNDDOWN(N$15*$C6,-2))</x:f>
        <x:v>216200</x:v>
      </x:c>
      <x:c r="O6" s="8">
        <x:f>IF(ROUNDDOWN(O$15*$C6,-2)&gt;'[1]산정특례'!$U$4,'[1]산정특례'!$U$4,ROUNDDOWN(O$15*$C6,-2))</x:f>
        <x:v>216200</x:v>
      </x:c>
      <x:c r="P6" s="8">
        <x:f>IF(ROUNDDOWN(P$15*$C6,-2)&gt;'[1]산정특례'!$U$4,'[1]산정특례'!$U$4,ROUNDDOWN(P$15*$C6,-2))</x:f>
        <x:v>216200</x:v>
      </x:c>
      <x:c r="Q6" s="8">
        <x:f>IF(ROUNDDOWN(Q$15*$C6,-2)&gt;'[1]산정특례'!$U$4,'[1]산정특례'!$U$4,ROUNDDOWN(Q$15*$C6,-2))</x:f>
        <x:v>216200</x:v>
      </x:c>
      <x:c r="R6" s="8">
        <x:f>IF(ROUNDDOWN(R$15*$C6,-2)&gt;'[1]산정특례'!$U$4,'[1]산정특례'!$U$4,ROUNDDOWN(R$15*$C6,-2))</x:f>
        <x:v>216200</x:v>
      </x:c>
      <x:c r="S6" s="8">
        <x:f>IF(ROUNDDOWN(S$15*$C6,-2)&gt;'[1]산정특례'!$U$4,'[1]산정특례'!$U$4,ROUNDDOWN(S$15*$C6,-2))</x:f>
        <x:v>216200</x:v>
      </x:c>
    </x:row>
    <x:row r="7" spans="1:19">
      <x:c r="A7" s="249"/>
      <x:c r="B7" s="5" t="s">
        <x:v>31</x:v>
      </x:c>
      <x:c r="C7" s="6">
        <x:v>0.10000000000000001</x:v>
      </x:c>
      <x:c r="D7" s="7">
        <x:f>IF(ROUNDDOWN(D$15*$C7,-2)&gt;'[1]산정특례'!$U$4,'[1]산정특례'!$U$4,ROUNDDOWN(D$15*$C7,-2))</x:f>
        <x:v>0</x:v>
      </x:c>
      <x:c r="E7" s="8">
        <x:f>IF(ROUNDDOWN(E$15*$C7,-2)&gt;'[1]산정특례'!$U$4,'[1]산정특례'!$U$4,ROUNDDOWN(E$15*$C7,-2))</x:f>
        <x:v>66100</x:v>
      </x:c>
      <x:c r="F7" s="8">
        <x:f>IF(ROUNDDOWN(F$15*$C7,-2)&gt;'[1]산정특례'!$U$4,'[1]산정특례'!$U$4,ROUNDDOWN(F$15*$C7,-2))</x:f>
        <x:v>117900</x:v>
      </x:c>
      <x:c r="G7" s="8">
        <x:f>IF(ROUNDDOWN(G$15*$C7,-2)&gt;'[1]산정특례'!$U$4,'[1]산정특례'!$U$4,ROUNDDOWN(G$15*$C7,-2))</x:f>
        <x:v>169700</x:v>
      </x:c>
      <x:c r="H7" s="8">
        <x:f>IF(ROUNDDOWN(H$15*$C7,-2)&gt;'[1]산정특례'!$U$4,'[1]산정특례'!$U$4,ROUNDDOWN(H$15*$C7,-2))</x:f>
        <x:v>216200</x:v>
      </x:c>
      <x:c r="I7" s="8">
        <x:f>IF(ROUNDDOWN(I$15*$C7,-2)&gt;'[1]산정특례'!$U$4,'[1]산정특례'!$U$4,ROUNDDOWN(I$15*$C7,-2))</x:f>
        <x:v>216200</x:v>
      </x:c>
      <x:c r="J7" s="8">
        <x:f>IF(ROUNDDOWN(J$15*$C7,-2)&gt;'[1]산정특례'!$U$4,'[1]산정특례'!$U$4,ROUNDDOWN(J$15*$C7,-2))</x:f>
        <x:v>216200</x:v>
      </x:c>
      <x:c r="K7" s="8">
        <x:f>IF(ROUNDDOWN(K$15*$C7,-2)&gt;'[1]산정특례'!$U$4,'[1]산정특례'!$U$4,ROUNDDOWN(K$15*$C7,-2))</x:f>
        <x:v>216200</x:v>
      </x:c>
      <x:c r="L7" s="8">
        <x:f>IF(ROUNDDOWN(L$15*$C7,-2)&gt;'[1]산정특례'!$U$4,'[1]산정특례'!$U$4,ROUNDDOWN(L$15*$C7,-2))</x:f>
        <x:v>216200</x:v>
      </x:c>
      <x:c r="M7" s="8">
        <x:f>IF(ROUNDDOWN(M$15*$C7,-2)&gt;'[1]산정특례'!$U$4,'[1]산정특례'!$U$4,ROUNDDOWN(M$15*$C7,-2))</x:f>
        <x:v>216200</x:v>
      </x:c>
      <x:c r="N7" s="8">
        <x:f>IF(ROUNDDOWN(N$15*$C7,-2)&gt;'[1]산정특례'!$U$4,'[1]산정특례'!$U$4,ROUNDDOWN(N$15*$C7,-2))</x:f>
        <x:v>216200</x:v>
      </x:c>
      <x:c r="O7" s="8">
        <x:f>IF(ROUNDDOWN(O$15*$C7,-2)&gt;'[1]산정특례'!$U$4,'[1]산정특례'!$U$4,ROUNDDOWN(O$15*$C7,-2))</x:f>
        <x:v>216200</x:v>
      </x:c>
      <x:c r="P7" s="8">
        <x:f>IF(ROUNDDOWN(P$15*$C7,-2)&gt;'[1]산정특례'!$U$4,'[1]산정특례'!$U$4,ROUNDDOWN(P$15*$C7,-2))</x:f>
        <x:v>216200</x:v>
      </x:c>
      <x:c r="Q7" s="8">
        <x:f>IF(ROUNDDOWN(Q$15*$C7,-2)&gt;'[1]산정특례'!$U$4,'[1]산정특례'!$U$4,ROUNDDOWN(Q$15*$C7,-2))</x:f>
        <x:v>216200</x:v>
      </x:c>
      <x:c r="R7" s="8">
        <x:f>IF(ROUNDDOWN(R$15*$C7,-2)&gt;'[1]산정특례'!$U$4,'[1]산정특례'!$U$4,ROUNDDOWN(R$15*$C7,-2))</x:f>
        <x:v>216200</x:v>
      </x:c>
      <x:c r="S7" s="8">
        <x:f>IF(ROUNDDOWN(S$15*$C7,-2)&gt;'[1]산정특례'!$U$4,'[1]산정특례'!$U$4,ROUNDDOWN(S$15*$C7,-2))</x:f>
        <x:v>216200</x:v>
      </x:c>
    </x:row>
    <x:row r="8" spans="1:19">
      <x:c r="A8" s="250"/>
      <x:c r="B8" s="9" t="s">
        <x:v>12</x:v>
      </x:c>
      <x:c r="C8" s="9"/>
      <x:c r="D8" s="10">
        <x:f>+D3/2</x:f>
        <x:v>0</x:v>
      </x:c>
      <x:c r="E8" s="11">
        <x:f t="shared" ref="E8:S8" si="0">+E3/2</x:f>
        <x:v>520000</x:v>
      </x:c>
      <x:c r="F8" s="11">
        <x:f t="shared" si="0"/>
        <x:v>779000</x:v>
      </x:c>
      <x:c r="G8" s="11">
        <x:f t="shared" si="0"/>
        <x:v>1038000</x:v>
      </x:c>
      <x:c r="H8" s="11">
        <x:f t="shared" si="0"/>
        <x:v>1296500</x:v>
      </x:c>
      <x:c r="I8" s="11">
        <x:f t="shared" si="0"/>
        <x:v>1556000</x:v>
      </x:c>
      <x:c r="J8" s="11">
        <x:f t="shared" si="0"/>
        <x:v>1814500</x:v>
      </x:c>
      <x:c r="K8" s="11">
        <x:f t="shared" si="0"/>
        <x:v>2074000</x:v>
      </x:c>
      <x:c r="L8" s="11">
        <x:f t="shared" si="0"/>
        <x:v>2332500</x:v>
      </x:c>
      <x:c r="M8" s="11">
        <x:f t="shared" si="0"/>
        <x:v>2590500</x:v>
      </x:c>
      <x:c r="N8" s="11">
        <x:f t="shared" si="0"/>
        <x:v>2851500</x:v>
      </x:c>
      <x:c r="O8" s="11">
        <x:f t="shared" si="0"/>
        <x:v>3110500</x:v>
      </x:c>
      <x:c r="P8" s="11">
        <x:f t="shared" si="0"/>
        <x:v>3369500</x:v>
      </x:c>
      <x:c r="Q8" s="11">
        <x:f t="shared" si="0"/>
        <x:v>3628500</x:v>
      </x:c>
      <x:c r="R8" s="11">
        <x:f t="shared" si="0"/>
        <x:v>3887000</x:v>
      </x:c>
      <x:c r="S8" s="11">
        <x:f t="shared" si="0"/>
        <x:v>4146500</x:v>
      </x:c>
    </x:row>
    <x:row r="9" spans="1:19">
      <x:c r="A9" s="249"/>
      <x:c r="B9" s="5" t="s">
        <x:v>34</x:v>
      </x:c>
      <x:c r="C9" s="6">
        <x:v>0.040000000000000002</x:v>
      </x:c>
      <x:c r="D9" s="7">
        <x:f>IF(ROUNDDOWN(D$20*$C9,-2)&gt;'[1]산정특례'!$U$4,'[1]산정특례'!$U$4,ROUNDDOWN(D$20*$C9,-2))</x:f>
        <x:v>0</x:v>
      </x:c>
      <x:c r="E9" s="8">
        <x:f>IF(ROUNDDOWN(E$20*$C9,-2)&gt;'[1]산정특례'!$U$4,'[1]산정특례'!$U$4,ROUNDDOWN(E$20*$C9,-2))</x:f>
        <x:v>13200</x:v>
      </x:c>
      <x:c r="F9" s="8">
        <x:f>IF(ROUNDDOWN(F$20*$C9,-2)&gt;'[1]산정특례'!$U$4,'[1]산정특례'!$U$4,ROUNDDOWN(F$20*$C9,-2))</x:f>
        <x:v>23500</x:v>
      </x:c>
      <x:c r="G9" s="8">
        <x:f>IF(ROUNDDOWN(G$20*$C9,-2)&gt;'[1]산정특례'!$U$4,'[1]산정특례'!$U$4,ROUNDDOWN(G$20*$C9,-2))</x:f>
        <x:v>33900</x:v>
      </x:c>
      <x:c r="H9" s="8">
        <x:f>IF(ROUNDDOWN(H$20*$C9,-2)&gt;'[1]산정특례'!$U$4,'[1]산정특례'!$U$4,ROUNDDOWN(H$20*$C9,-2))</x:f>
        <x:v>44200</x:v>
      </x:c>
      <x:c r="I9" s="8">
        <x:f>IF(ROUNDDOWN(I$20*$C9,-2)&gt;'[1]산정특례'!$U$4,'[1]산정특례'!$U$4,ROUNDDOWN(I$20*$C9,-2))</x:f>
        <x:v>54600</x:v>
      </x:c>
      <x:c r="J9" s="8">
        <x:f>IF(ROUNDDOWN(J$20*$C9,-2)&gt;'[1]산정특례'!$U$4,'[1]산정특례'!$U$4,ROUNDDOWN(J$20*$C9,-2))</x:f>
        <x:v>65000</x:v>
      </x:c>
      <x:c r="K9" s="8">
        <x:f>IF(ROUNDDOWN(K$20*$C9,-2)&gt;'[1]산정특례'!$U$4,'[1]산정특례'!$U$4,ROUNDDOWN(K$20*$C9,-2))</x:f>
        <x:v>75300</x:v>
      </x:c>
      <x:c r="L9" s="8">
        <x:f>IF(ROUNDDOWN(L$20*$C9,-2)&gt;'[1]산정특례'!$U$4,'[1]산정특례'!$U$4,ROUNDDOWN(L$20*$C9,-2))</x:f>
        <x:v>85700</x:v>
      </x:c>
      <x:c r="M9" s="8">
        <x:f>IF(ROUNDDOWN(M$20*$C9,-2)&gt;'[1]산정특례'!$U$4,'[1]산정특례'!$U$4,ROUNDDOWN(M$20*$C9,-2))</x:f>
        <x:v>96000</x:v>
      </x:c>
      <x:c r="N9" s="8">
        <x:f>IF(ROUNDDOWN(N$20*$C9,-2)&gt;'[1]산정특례'!$U$4,'[1]산정특례'!$U$4,ROUNDDOWN(N$20*$C9,-2))</x:f>
        <x:v>106400</x:v>
      </x:c>
      <x:c r="O9" s="8">
        <x:f>IF(ROUNDDOWN(O$20*$C9,-2)&gt;'[1]산정특례'!$U$4,'[1]산정특례'!$U$4,ROUNDDOWN(O$20*$C9,-2))</x:f>
        <x:v>116800</x:v>
      </x:c>
      <x:c r="P9" s="8">
        <x:f>IF(ROUNDDOWN(P$20*$C9,-2)&gt;'[1]산정특례'!$U$4,'[1]산정특례'!$U$4,ROUNDDOWN(P$20*$C9,-2))</x:f>
        <x:v>127200</x:v>
      </x:c>
      <x:c r="Q9" s="8">
        <x:f>IF(ROUNDDOWN(Q$20*$C9,-2)&gt;'[1]산정특례'!$U$4,'[1]산정특례'!$U$4,ROUNDDOWN(Q$20*$C9,-2))</x:f>
        <x:v>137500</x:v>
      </x:c>
      <x:c r="R9" s="8">
        <x:f>IF(ROUNDDOWN(R$20*$C9,-2)&gt;'[1]산정특례'!$U$4,'[1]산정특례'!$U$4,ROUNDDOWN(R$20*$C9,-2))</x:f>
        <x:v>147900</x:v>
      </x:c>
      <x:c r="S9" s="8">
        <x:f>IF(ROUNDDOWN(S$20*$C9,-2)&gt;'[1]산정특례'!$U$4,'[1]산정특례'!$U$4,ROUNDDOWN(S$20*$C9,-2))</x:f>
        <x:v>158200</x:v>
      </x:c>
    </x:row>
    <x:row r="10" spans="1:19">
      <x:c r="A10" s="249"/>
      <x:c r="B10" s="5" t="s">
        <x:v>32</x:v>
      </x:c>
      <x:c r="C10" s="6">
        <x:v>0.059999999999999998</x:v>
      </x:c>
      <x:c r="D10" s="7">
        <x:f>IF(ROUNDDOWN(D$20*$C10,-2)&gt;'[1]산정특례'!$U$4,'[1]산정특례'!$U$4,ROUNDDOWN(D$20*$C10,-2))</x:f>
        <x:v>0</x:v>
      </x:c>
      <x:c r="E10" s="8">
        <x:f>IF(ROUNDDOWN(E$20*$C10,-2)&gt;'[1]산정특례'!$U$4,'[1]산정특례'!$U$4,ROUNDDOWN(E$20*$C10,-2))</x:f>
        <x:v>19800</x:v>
      </x:c>
      <x:c r="F10" s="8">
        <x:f>IF(ROUNDDOWN(F$20*$C10,-2)&gt;'[1]산정특례'!$U$4,'[1]산정특례'!$U$4,ROUNDDOWN(F$20*$C10,-2))</x:f>
        <x:v>35300</x:v>
      </x:c>
      <x:c r="G10" s="8">
        <x:f>IF(ROUNDDOWN(G$20*$C10,-2)&gt;'[1]산정특례'!$U$4,'[1]산정특례'!$U$4,ROUNDDOWN(G$20*$C10,-2))</x:f>
        <x:v>50900</x:v>
      </x:c>
      <x:c r="H10" s="8">
        <x:f>IF(ROUNDDOWN(H$20*$C10,-2)&gt;'[1]산정특례'!$U$4,'[1]산정특례'!$U$4,ROUNDDOWN(H$20*$C10,-2))</x:f>
        <x:v>66400</x:v>
      </x:c>
      <x:c r="I10" s="8">
        <x:f>IF(ROUNDDOWN(I$20*$C10,-2)&gt;'[1]산정특례'!$U$4,'[1]산정특례'!$U$4,ROUNDDOWN(I$20*$C10,-2))</x:f>
        <x:v>81900</x:v>
      </x:c>
      <x:c r="J10" s="8">
        <x:f>IF(ROUNDDOWN(J$20*$C10,-2)&gt;'[1]산정특례'!$U$4,'[1]산정특례'!$U$4,ROUNDDOWN(J$20*$C10,-2))</x:f>
        <x:v>97500</x:v>
      </x:c>
      <x:c r="K10" s="8">
        <x:f>IF(ROUNDDOWN(K$20*$C10,-2)&gt;'[1]산정특례'!$U$4,'[1]산정특례'!$U$4,ROUNDDOWN(K$20*$C10,-2))</x:f>
        <x:v>113000</x:v>
      </x:c>
      <x:c r="L10" s="8">
        <x:f>IF(ROUNDDOWN(L$20*$C10,-2)&gt;'[1]산정특례'!$U$4,'[1]산정특례'!$U$4,ROUNDDOWN(L$20*$C10,-2))</x:f>
        <x:v>128500</x:v>
      </x:c>
      <x:c r="M10" s="8">
        <x:f>IF(ROUNDDOWN(M$20*$C10,-2)&gt;'[1]산정특례'!$U$4,'[1]산정특례'!$U$4,ROUNDDOWN(M$20*$C10,-2))</x:f>
        <x:v>144000</x:v>
      </x:c>
      <x:c r="N10" s="8">
        <x:f>IF(ROUNDDOWN(N$20*$C10,-2)&gt;'[1]산정특례'!$U$4,'[1]산정특례'!$U$4,ROUNDDOWN(N$20*$C10,-2))</x:f>
        <x:v>159700</x:v>
      </x:c>
      <x:c r="O10" s="8">
        <x:f>IF(ROUNDDOWN(O$20*$C10,-2)&gt;'[1]산정특례'!$U$4,'[1]산정특례'!$U$4,ROUNDDOWN(O$20*$C10,-2))</x:f>
        <x:v>175200</x:v>
      </x:c>
      <x:c r="P10" s="8">
        <x:f>IF(ROUNDDOWN(P$20*$C10,-2)&gt;'[1]산정특례'!$U$4,'[1]산정특례'!$U$4,ROUNDDOWN(P$20*$C10,-2))</x:f>
        <x:v>190800</x:v>
      </x:c>
      <x:c r="Q10" s="8">
        <x:f>IF(ROUNDDOWN(Q$20*$C10,-2)&gt;'[1]산정특례'!$U$4,'[1]산정특례'!$U$4,ROUNDDOWN(Q$20*$C10,-2))</x:f>
        <x:v>206300</x:v>
      </x:c>
      <x:c r="R10" s="8">
        <x:f>IF(ROUNDDOWN(R$20*$C10,-2)&gt;'[1]산정특례'!$U$4,'[1]산정특례'!$U$4,ROUNDDOWN(R$20*$C10,-2))</x:f>
        <x:v>216200</x:v>
      </x:c>
      <x:c r="S10" s="8">
        <x:f>IF(ROUNDDOWN(S$20*$C10,-2)&gt;'[1]산정특례'!$U$4,'[1]산정특례'!$U$4,ROUNDDOWN(S$20*$C10,-2))</x:f>
        <x:v>216200</x:v>
      </x:c>
    </x:row>
    <x:row r="11" spans="1:19">
      <x:c r="A11" s="249"/>
      <x:c r="B11" s="5" t="s">
        <x:v>36</x:v>
      </x:c>
      <x:c r="C11" s="6">
        <x:v>0.080000000000000004</x:v>
      </x:c>
      <x:c r="D11" s="7">
        <x:f>IF(ROUNDDOWN(D$20*$C11,-2)&gt;'[1]산정특례'!$U$4,'[1]산정특례'!$U$4,ROUNDDOWN(D$20*$C11,-2))</x:f>
        <x:v>0</x:v>
      </x:c>
      <x:c r="E11" s="8">
        <x:f>IF(ROUNDDOWN(E$20*$C11,-2)&gt;'[1]산정특례'!$U$4,'[1]산정특례'!$U$4,ROUNDDOWN(E$20*$C11,-2))</x:f>
        <x:v>26400</x:v>
      </x:c>
      <x:c r="F11" s="8">
        <x:f>IF(ROUNDDOWN(F$20*$C11,-2)&gt;'[1]산정특례'!$U$4,'[1]산정특례'!$U$4,ROUNDDOWN(F$20*$C11,-2))</x:f>
        <x:v>47100</x:v>
      </x:c>
      <x:c r="G11" s="8">
        <x:f>IF(ROUNDDOWN(G$20*$C11,-2)&gt;'[1]산정특례'!$U$4,'[1]산정특례'!$U$4,ROUNDDOWN(G$20*$C11,-2))</x:f>
        <x:v>67800</x:v>
      </x:c>
      <x:c r="H11" s="8">
        <x:f>IF(ROUNDDOWN(H$20*$C11,-2)&gt;'[1]산정특례'!$U$4,'[1]산정특례'!$U$4,ROUNDDOWN(H$20*$C11,-2))</x:f>
        <x:v>88500</x:v>
      </x:c>
      <x:c r="I11" s="8">
        <x:f>IF(ROUNDDOWN(I$20*$C11,-2)&gt;'[1]산정특례'!$U$4,'[1]산정특례'!$U$4,ROUNDDOWN(I$20*$C11,-2))</x:f>
        <x:v>109300</x:v>
      </x:c>
      <x:c r="J11" s="8">
        <x:f>IF(ROUNDDOWN(J$20*$C11,-2)&gt;'[1]산정특례'!$U$4,'[1]산정특례'!$U$4,ROUNDDOWN(J$20*$C11,-2))</x:f>
        <x:v>130000</x:v>
      </x:c>
      <x:c r="K11" s="8">
        <x:f>IF(ROUNDDOWN(K$20*$C11,-2)&gt;'[1]산정특례'!$U$4,'[1]산정특례'!$U$4,ROUNDDOWN(K$20*$C11,-2))</x:f>
        <x:v>150700</x:v>
      </x:c>
      <x:c r="L11" s="8">
        <x:f>IF(ROUNDDOWN(L$20*$C11,-2)&gt;'[1]산정특례'!$U$4,'[1]산정특례'!$U$4,ROUNDDOWN(L$20*$C11,-2))</x:f>
        <x:v>171400</x:v>
      </x:c>
      <x:c r="M11" s="8">
        <x:f>IF(ROUNDDOWN(M$20*$C11,-2)&gt;'[1]산정특례'!$U$4,'[1]산정특례'!$U$4,ROUNDDOWN(M$20*$C11,-2))</x:f>
        <x:v>192000</x:v>
      </x:c>
      <x:c r="N11" s="8">
        <x:f>IF(ROUNDDOWN(N$20*$C11,-2)&gt;'[1]산정특례'!$U$4,'[1]산정특례'!$U$4,ROUNDDOWN(N$20*$C11,-2))</x:f>
        <x:v>212900</x:v>
      </x:c>
      <x:c r="O11" s="8">
        <x:f>IF(ROUNDDOWN(O$20*$C11,-2)&gt;'[1]산정특례'!$U$4,'[1]산정특례'!$U$4,ROUNDDOWN(O$20*$C11,-2))</x:f>
        <x:v>216200</x:v>
      </x:c>
      <x:c r="P11" s="8">
        <x:f>IF(ROUNDDOWN(P$20*$C11,-2)&gt;'[1]산정특례'!$U$4,'[1]산정특례'!$U$4,ROUNDDOWN(P$20*$C11,-2))</x:f>
        <x:v>216200</x:v>
      </x:c>
      <x:c r="Q11" s="8">
        <x:f>IF(ROUNDDOWN(Q$20*$C11,-2)&gt;'[1]산정특례'!$U$4,'[1]산정특례'!$U$4,ROUNDDOWN(Q$20*$C11,-2))</x:f>
        <x:v>216200</x:v>
      </x:c>
      <x:c r="R11" s="8">
        <x:f>IF(ROUNDDOWN(R$20*$C11,-2)&gt;'[1]산정특례'!$U$4,'[1]산정특례'!$U$4,ROUNDDOWN(R$20*$C11,-2))</x:f>
        <x:v>216200</x:v>
      </x:c>
      <x:c r="S11" s="8">
        <x:f>IF(ROUNDDOWN(S$20*$C11,-2)&gt;'[1]산정특례'!$U$4,'[1]산정특례'!$U$4,ROUNDDOWN(S$20*$C11,-2))</x:f>
        <x:v>216200</x:v>
      </x:c>
    </x:row>
    <x:row r="12" spans="1:19">
      <x:c r="A12" s="249"/>
      <x:c r="B12" s="5" t="s">
        <x:v>31</x:v>
      </x:c>
      <x:c r="C12" s="6">
        <x:v>0.10000000000000001</x:v>
      </x:c>
      <x:c r="D12" s="7">
        <x:f>IF(ROUNDDOWN(D$20*$C12,-2)&gt;'[1]산정특례'!$U$4,'[1]산정특례'!$U$4,ROUNDDOWN(D$20*$C12,-2))</x:f>
        <x:v>0</x:v>
      </x:c>
      <x:c r="E12" s="8">
        <x:f>IF(ROUNDDOWN(E$20*$C12,-2)&gt;'[1]산정특례'!$U$4,'[1]산정특례'!$U$4,ROUNDDOWN(E$20*$C12,-2))</x:f>
        <x:v>33000</x:v>
      </x:c>
      <x:c r="F12" s="8">
        <x:f>IF(ROUNDDOWN(F$20*$C12,-2)&gt;'[1]산정특례'!$U$4,'[1]산정특례'!$U$4,ROUNDDOWN(F$20*$C12,-2))</x:f>
        <x:v>58900</x:v>
      </x:c>
      <x:c r="G12" s="8">
        <x:f>IF(ROUNDDOWN(G$20*$C12,-2)&gt;'[1]산정특례'!$U$4,'[1]산정특례'!$U$4,ROUNDDOWN(G$20*$C12,-2))</x:f>
        <x:v>84800</x:v>
      </x:c>
      <x:c r="H12" s="8">
        <x:f>IF(ROUNDDOWN(H$20*$C12,-2)&gt;'[1]산정특례'!$U$4,'[1]산정특례'!$U$4,ROUNDDOWN(H$20*$C12,-2))</x:f>
        <x:v>110700</x:v>
      </x:c>
      <x:c r="I12" s="8">
        <x:f>IF(ROUNDDOWN(I$20*$C12,-2)&gt;'[1]산정특례'!$U$4,'[1]산정특례'!$U$4,ROUNDDOWN(I$20*$C12,-2))</x:f>
        <x:v>136600</x:v>
      </x:c>
      <x:c r="J12" s="8">
        <x:f>IF(ROUNDDOWN(J$20*$C12,-2)&gt;'[1]산정특례'!$U$4,'[1]산정특례'!$U$4,ROUNDDOWN(J$20*$C12,-2))</x:f>
        <x:v>162500</x:v>
      </x:c>
      <x:c r="K12" s="8">
        <x:f>IF(ROUNDDOWN(K$20*$C12,-2)&gt;'[1]산정특례'!$U$4,'[1]산정특례'!$U$4,ROUNDDOWN(K$20*$C12,-2))</x:f>
        <x:v>188400</x:v>
      </x:c>
      <x:c r="L12" s="8">
        <x:f>IF(ROUNDDOWN(L$20*$C12,-2)&gt;'[1]산정특례'!$U$4,'[1]산정특례'!$U$4,ROUNDDOWN(L$20*$C12,-2))</x:f>
        <x:v>214300</x:v>
      </x:c>
      <x:c r="M12" s="8">
        <x:f>IF(ROUNDDOWN(M$20*$C12,-2)&gt;'[1]산정특례'!$U$4,'[1]산정특례'!$U$4,ROUNDDOWN(M$20*$C12,-2))</x:f>
        <x:v>216200</x:v>
      </x:c>
      <x:c r="N12" s="8">
        <x:f>IF(ROUNDDOWN(N$20*$C12,-2)&gt;'[1]산정특례'!$U$4,'[1]산정특례'!$U$4,ROUNDDOWN(N$20*$C12,-2))</x:f>
        <x:v>216200</x:v>
      </x:c>
      <x:c r="O12" s="8">
        <x:f>IF(ROUNDDOWN(O$20*$C12,-2)&gt;'[1]산정특례'!$U$4,'[1]산정특례'!$U$4,ROUNDDOWN(O$20*$C12,-2))</x:f>
        <x:v>216200</x:v>
      </x:c>
      <x:c r="P12" s="8">
        <x:f>IF(ROUNDDOWN(P$20*$C12,-2)&gt;'[1]산정특례'!$U$4,'[1]산정특례'!$U$4,ROUNDDOWN(P$20*$C12,-2))</x:f>
        <x:v>216200</x:v>
      </x:c>
      <x:c r="Q12" s="8">
        <x:f>IF(ROUNDDOWN(Q$20*$C12,-2)&gt;'[1]산정특례'!$U$4,'[1]산정특례'!$U$4,ROUNDDOWN(Q$20*$C12,-2))</x:f>
        <x:v>216200</x:v>
      </x:c>
      <x:c r="R12" s="8">
        <x:f>IF(ROUNDDOWN(R$20*$C12,-2)&gt;'[1]산정특례'!$U$4,'[1]산정특례'!$U$4,ROUNDDOWN(R$20*$C12,-2))</x:f>
        <x:v>216200</x:v>
      </x:c>
      <x:c r="S12" s="8">
        <x:f>IF(ROUNDDOWN(S$20*$C12,-2)&gt;'[1]산정특례'!$U$4,'[1]산정특례'!$U$4,ROUNDDOWN(S$20*$C12,-2))</x:f>
        <x:v>216200</x:v>
      </x:c>
    </x:row>
    <x:row r="13" spans="1:19">
      <x:c r="A13" s="249"/>
      <x:c r="B13" s="249"/>
      <x:c r="C13" s="249"/>
      <x:c r="D13" s="249"/>
      <x:c r="E13" s="249"/>
      <x:c r="F13" s="249"/>
      <x:c r="G13" s="249"/>
      <x:c r="H13" s="249"/>
      <x:c r="I13" s="249"/>
      <x:c r="J13" s="249"/>
      <x:c r="K13" s="249"/>
      <x:c r="L13" s="249"/>
      <x:c r="M13" s="249"/>
      <x:c r="N13" s="249"/>
      <x:c r="O13" s="249"/>
      <x:c r="P13" s="249"/>
      <x:c r="Q13" s="249"/>
      <x:c r="R13" s="249"/>
      <x:c r="S13" s="249"/>
    </x:row>
    <x:row r="14" spans="1:19">
      <x:c r="A14" s="251" t="s">
        <x:v>47</x:v>
      </x:c>
      <x:c r="B14" s="154" t="s">
        <x:v>108</x:v>
      </x:c>
      <x:c r="C14" s="154" t="s">
        <x:v>61</x:v>
      </x:c>
      <x:c r="D14" s="1" t="s">
        <x:v>63</x:v>
      </x:c>
      <x:c r="E14" s="2" t="s">
        <x:v>30</x:v>
      </x:c>
      <x:c r="F14" s="2" t="s">
        <x:v>27</x:v>
      </x:c>
      <x:c r="G14" s="2" t="s">
        <x:v>28</x:v>
      </x:c>
      <x:c r="H14" s="2" t="s">
        <x:v>29</x:v>
      </x:c>
      <x:c r="I14" s="2" t="s">
        <x:v>35</x:v>
      </x:c>
      <x:c r="J14" s="2" t="s">
        <x:v>33</x:v>
      </x:c>
      <x:c r="K14" s="2" t="s">
        <x:v>71</x:v>
      </x:c>
      <x:c r="L14" s="2" t="s">
        <x:v>73</x:v>
      </x:c>
      <x:c r="M14" s="2" t="s">
        <x:v>74</x:v>
      </x:c>
      <x:c r="N14" s="2" t="s">
        <x:v>75</x:v>
      </x:c>
      <x:c r="O14" s="2" t="s">
        <x:v>76</x:v>
      </x:c>
      <x:c r="P14" s="2" t="s">
        <x:v>68</x:v>
      </x:c>
      <x:c r="Q14" s="2" t="s">
        <x:v>69</x:v>
      </x:c>
      <x:c r="R14" s="2" t="s">
        <x:v>70</x:v>
      </x:c>
      <x:c r="S14" s="2" t="s">
        <x:v>72</x:v>
      </x:c>
    </x:row>
    <x:row r="15" spans="1:19">
      <x:c r="A15" s="251"/>
      <x:c r="B15" s="154"/>
      <x:c r="C15" s="154"/>
      <x:c r="D15" s="3"/>
      <x:c r="E15" s="4">
        <x:v>661000</x:v>
      </x:c>
      <x:c r="F15" s="4">
        <x:v>1179000</x:v>
      </x:c>
      <x:c r="G15" s="4">
        <x:v>1697000</x:v>
      </x:c>
      <x:c r="H15" s="4">
        <x:v>2214000</x:v>
      </x:c>
      <x:c r="I15" s="4">
        <x:v>2733000</x:v>
      </x:c>
      <x:c r="J15" s="4">
        <x:v>3250000</x:v>
      </x:c>
      <x:c r="K15" s="4">
        <x:v>3769000</x:v>
      </x:c>
      <x:c r="L15" s="4">
        <x:v>4286000</x:v>
      </x:c>
      <x:c r="M15" s="4">
        <x:v>4802000</x:v>
      </x:c>
      <x:c r="N15" s="4">
        <x:v>5324000</x:v>
      </x:c>
      <x:c r="O15" s="4">
        <x:v>5842000</x:v>
      </x:c>
      <x:c r="P15" s="4">
        <x:v>6360000</x:v>
      </x:c>
      <x:c r="Q15" s="4">
        <x:v>6878000</x:v>
      </x:c>
      <x:c r="R15" s="4">
        <x:v>7395000</x:v>
      </x:c>
      <x:c r="S15" s="4">
        <x:v>7914000</x:v>
      </x:c>
    </x:row>
    <x:row r="16" spans="1:19">
      <x:c r="A16" s="249"/>
      <x:c r="B16" s="5" t="s">
        <x:v>34</x:v>
      </x:c>
      <x:c r="C16" s="6">
        <x:v>0.040000000000000002</x:v>
      </x:c>
      <x:c r="D16" s="7">
        <x:f>IF(ROUNDDOWN(D$27*$C16,-2)&gt;'[1]산정특례'!$U$4,'[1]산정특례'!$U$4,ROUNDDOWN(D$27*$C16,-2))</x:f>
        <x:v>0</x:v>
      </x:c>
      <x:c r="E16" s="8">
        <x:f>IF(ROUNDDOWN(E$15*$C16,-2)&gt;산정특례!$U$4,산정특례!$U$4,ROUNDDOWN(E$15*$C16,-2))</x:f>
        <x:v>26400</x:v>
      </x:c>
      <x:c r="F16" s="8">
        <x:f>IF(ROUNDDOWN(F$15*$C16,-2)&gt;산정특례!$U$4,산정특례!$U$4,ROUNDDOWN(F$15*$C16,-2))</x:f>
        <x:v>47100</x:v>
      </x:c>
      <x:c r="G16" s="8">
        <x:f>IF(ROUNDDOWN(G$15*$C16,-2)&gt;산정특례!$U$4,산정특례!$U$4,ROUNDDOWN(G$15*$C16,-2))</x:f>
        <x:v>67800</x:v>
      </x:c>
      <x:c r="H16" s="8">
        <x:f>IF(ROUNDDOWN(H$15*$C16,-2)&gt;산정특례!$U$4,산정특례!$U$4,ROUNDDOWN(H$15*$C16,-2))</x:f>
        <x:v>88500</x:v>
      </x:c>
      <x:c r="I16" s="8">
        <x:f>IF(ROUNDDOWN(I$15*$C16,-2)&gt;산정특례!$U$4,산정특례!$U$4,ROUNDDOWN(I$15*$C16,-2))</x:f>
        <x:v>109300</x:v>
      </x:c>
      <x:c r="J16" s="8">
        <x:f>IF(ROUNDDOWN(J$15*$C16,-2)&gt;산정특례!$U$4,산정특례!$U$4,ROUNDDOWN(J$15*$C16,-2))</x:f>
        <x:v>130000</x:v>
      </x:c>
      <x:c r="K16" s="8">
        <x:f>IF(ROUNDDOWN(K$15*$C16,-2)&gt;산정특례!$U$4,산정특례!$U$4,ROUNDDOWN(K$15*$C16,-2))</x:f>
        <x:v>150700</x:v>
      </x:c>
      <x:c r="L16" s="8">
        <x:f>IF(ROUNDDOWN(L$15*$C16,-2)&gt;산정특례!$U$4,산정특례!$U$4,ROUNDDOWN(L$15*$C16,-2))</x:f>
        <x:v>171400</x:v>
      </x:c>
      <x:c r="M16" s="8">
        <x:f>IF(ROUNDDOWN(M$15*$C16,-2)&gt;산정특례!$U$4,산정특례!$U$4,ROUNDDOWN(M$15*$C16,-2))</x:f>
        <x:v>192000</x:v>
      </x:c>
      <x:c r="N16" s="8">
        <x:f>IF(ROUNDDOWN(N$15*$C16,-2)&gt;산정특례!$U$4,산정특례!$U$4,ROUNDDOWN(N$15*$C16,-2))</x:f>
        <x:v>212900</x:v>
      </x:c>
      <x:c r="O16" s="8">
        <x:f>IF(ROUNDDOWN(O$15*$C16,-2)&gt;산정특례!$U$4,산정특례!$U$4,ROUNDDOWN(O$15*$C16,-2))</x:f>
        <x:v>216200</x:v>
      </x:c>
      <x:c r="P16" s="8">
        <x:f>IF(ROUNDDOWN(P$15*$C16,-2)&gt;산정특례!$U$4,산정특례!$U$4,ROUNDDOWN(P$15*$C16,-2))</x:f>
        <x:v>216200</x:v>
      </x:c>
      <x:c r="Q16" s="8">
        <x:f>IF(ROUNDDOWN(Q$15*$C16,-2)&gt;산정특례!$U$4,산정특례!$U$4,ROUNDDOWN(Q$15*$C16,-2))</x:f>
        <x:v>216200</x:v>
      </x:c>
      <x:c r="R16" s="8">
        <x:f>IF(ROUNDDOWN(R$15*$C16,-2)&gt;산정특례!$U$4,산정특례!$U$4,ROUNDDOWN(R$15*$C16,-2))</x:f>
        <x:v>216200</x:v>
      </x:c>
      <x:c r="S16" s="8">
        <x:f>IF(ROUNDDOWN(S$15*$C16,-2)&gt;산정특례!$U$4,산정특례!$U$4,ROUNDDOWN(S$15*$C16,-2))</x:f>
        <x:v>216200</x:v>
      </x:c>
    </x:row>
    <x:row r="17" spans="1:19">
      <x:c r="A17" s="249"/>
      <x:c r="B17" s="5" t="s">
        <x:v>32</x:v>
      </x:c>
      <x:c r="C17" s="6">
        <x:v>0.059999999999999998</x:v>
      </x:c>
      <x:c r="D17" s="7">
        <x:f>IF(ROUNDDOWN(D$27*$C17,-2)&gt;'[1]산정특례'!$U$4,'[1]산정특례'!$U$4,ROUNDDOWN(D$27*$C17,-2))</x:f>
        <x:v>0</x:v>
      </x:c>
      <x:c r="E17" s="8">
        <x:f>IF(ROUNDDOWN(E$15*$C17,-2)&gt;산정특례!$U$4,산정특례!$U$4,ROUNDDOWN(E$15*$C17,-2))</x:f>
        <x:v>39600</x:v>
      </x:c>
      <x:c r="F17" s="8">
        <x:f>IF(ROUNDDOWN(F$15*$C17,-2)&gt;산정특례!$U$4,산정특례!$U$4,ROUNDDOWN(F$15*$C17,-2))</x:f>
        <x:v>70700</x:v>
      </x:c>
      <x:c r="G17" s="8">
        <x:f>IF(ROUNDDOWN(G$15*$C17,-2)&gt;산정특례!$U$4,산정특례!$U$4,ROUNDDOWN(G$15*$C17,-2))</x:f>
        <x:v>101800</x:v>
      </x:c>
      <x:c r="H17" s="8">
        <x:f>IF(ROUNDDOWN(H$15*$C17,-2)&gt;산정특례!$U$4,산정특례!$U$4,ROUNDDOWN(H$15*$C17,-2))</x:f>
        <x:v>132800</x:v>
      </x:c>
      <x:c r="I17" s="8">
        <x:f>IF(ROUNDDOWN(I$15*$C17,-2)&gt;산정특례!$U$4,산정특례!$U$4,ROUNDDOWN(I$15*$C17,-2))</x:f>
        <x:v>163900</x:v>
      </x:c>
      <x:c r="J17" s="8">
        <x:f>IF(ROUNDDOWN(J$15*$C17,-2)&gt;산정특례!$U$4,산정특례!$U$4,ROUNDDOWN(J$15*$C17,-2))</x:f>
        <x:v>195000</x:v>
      </x:c>
      <x:c r="K17" s="8">
        <x:f>IF(ROUNDDOWN(K$15*$C17,-2)&gt;산정특례!$U$4,산정특례!$U$4,ROUNDDOWN(K$15*$C17,-2))</x:f>
        <x:v>216200</x:v>
      </x:c>
      <x:c r="L17" s="8">
        <x:f>IF(ROUNDDOWN(L$15*$C17,-2)&gt;산정특례!$U$4,산정특례!$U$4,ROUNDDOWN(L$15*$C17,-2))</x:f>
        <x:v>216200</x:v>
      </x:c>
      <x:c r="M17" s="8">
        <x:f>IF(ROUNDDOWN(M$15*$C17,-2)&gt;산정특례!$U$4,산정특례!$U$4,ROUNDDOWN(M$15*$C17,-2))</x:f>
        <x:v>216200</x:v>
      </x:c>
      <x:c r="N17" s="8">
        <x:f>IF(ROUNDDOWN(N$15*$C17,-2)&gt;산정특례!$U$4,산정특례!$U$4,ROUNDDOWN(N$15*$C17,-2))</x:f>
        <x:v>216200</x:v>
      </x:c>
      <x:c r="O17" s="8">
        <x:f>IF(ROUNDDOWN(O$15*$C17,-2)&gt;산정특례!$U$4,산정특례!$U$4,ROUNDDOWN(O$15*$C17,-2))</x:f>
        <x:v>216200</x:v>
      </x:c>
      <x:c r="P17" s="8">
        <x:f>IF(ROUNDDOWN(P$15*$C17,-2)&gt;산정특례!$U$4,산정특례!$U$4,ROUNDDOWN(P$15*$C17,-2))</x:f>
        <x:v>216200</x:v>
      </x:c>
      <x:c r="Q17" s="8">
        <x:f>IF(ROUNDDOWN(Q$15*$C17,-2)&gt;산정특례!$U$4,산정특례!$U$4,ROUNDDOWN(Q$15*$C17,-2))</x:f>
        <x:v>216200</x:v>
      </x:c>
      <x:c r="R17" s="8">
        <x:f>IF(ROUNDDOWN(R$15*$C17,-2)&gt;산정특례!$U$4,산정특례!$U$4,ROUNDDOWN(R$15*$C17,-2))</x:f>
        <x:v>216200</x:v>
      </x:c>
      <x:c r="S17" s="8">
        <x:f>IF(ROUNDDOWN(S$15*$C17,-2)&gt;산정특례!$U$4,산정특례!$U$4,ROUNDDOWN(S$15*$C17,-2))</x:f>
        <x:v>216200</x:v>
      </x:c>
    </x:row>
    <x:row r="18" spans="1:19">
      <x:c r="A18" s="249"/>
      <x:c r="B18" s="5" t="s">
        <x:v>36</x:v>
      </x:c>
      <x:c r="C18" s="6">
        <x:v>0.080000000000000004</x:v>
      </x:c>
      <x:c r="D18" s="7">
        <x:f>IF(ROUNDDOWN(D$27*$C18,-2)&gt;'[1]산정특례'!$U$4,'[1]산정특례'!$U$4,ROUNDDOWN(D$27*$C18,-2))</x:f>
        <x:v>0</x:v>
      </x:c>
      <x:c r="E18" s="8">
        <x:f>IF(ROUNDDOWN(E$15*$C18,-2)&gt;산정특례!$U$4,산정특례!$U$4,ROUNDDOWN(E$15*$C18,-2))</x:f>
        <x:v>52800</x:v>
      </x:c>
      <x:c r="F18" s="8">
        <x:f>IF(ROUNDDOWN(F$15*$C18,-2)&gt;산정특례!$U$4,산정특례!$U$4,ROUNDDOWN(F$15*$C18,-2))</x:f>
        <x:v>94300</x:v>
      </x:c>
      <x:c r="G18" s="8">
        <x:f>IF(ROUNDDOWN(G$15*$C18,-2)&gt;산정특례!$U$4,산정특례!$U$4,ROUNDDOWN(G$15*$C18,-2))</x:f>
        <x:v>135700</x:v>
      </x:c>
      <x:c r="H18" s="8">
        <x:f>IF(ROUNDDOWN(H$15*$C18,-2)&gt;산정특례!$U$4,산정특례!$U$4,ROUNDDOWN(H$15*$C18,-2))</x:f>
        <x:v>177100</x:v>
      </x:c>
      <x:c r="I18" s="8">
        <x:f>IF(ROUNDDOWN(I$15*$C18,-2)&gt;산정특례!$U$4,산정특례!$U$4,ROUNDDOWN(I$15*$C18,-2))</x:f>
        <x:v>216200</x:v>
      </x:c>
      <x:c r="J18" s="8">
        <x:f>IF(ROUNDDOWN(J$15*$C18,-2)&gt;산정특례!$U$4,산정특례!$U$4,ROUNDDOWN(J$15*$C18,-2))</x:f>
        <x:v>216200</x:v>
      </x:c>
      <x:c r="K18" s="8">
        <x:f>IF(ROUNDDOWN(K$15*$C18,-2)&gt;산정특례!$U$4,산정특례!$U$4,ROUNDDOWN(K$15*$C18,-2))</x:f>
        <x:v>216200</x:v>
      </x:c>
      <x:c r="L18" s="8">
        <x:f>IF(ROUNDDOWN(L$15*$C18,-2)&gt;산정특례!$U$4,산정특례!$U$4,ROUNDDOWN(L$15*$C18,-2))</x:f>
        <x:v>216200</x:v>
      </x:c>
      <x:c r="M18" s="8">
        <x:f>IF(ROUNDDOWN(M$15*$C18,-2)&gt;산정특례!$U$4,산정특례!$U$4,ROUNDDOWN(M$15*$C18,-2))</x:f>
        <x:v>216200</x:v>
      </x:c>
      <x:c r="N18" s="8">
        <x:f>IF(ROUNDDOWN(N$15*$C18,-2)&gt;산정특례!$U$4,산정특례!$U$4,ROUNDDOWN(N$15*$C18,-2))</x:f>
        <x:v>216200</x:v>
      </x:c>
      <x:c r="O18" s="8">
        <x:f>IF(ROUNDDOWN(O$15*$C18,-2)&gt;산정특례!$U$4,산정특례!$U$4,ROUNDDOWN(O$15*$C18,-2))</x:f>
        <x:v>216200</x:v>
      </x:c>
      <x:c r="P18" s="8">
        <x:f>IF(ROUNDDOWN(P$15*$C18,-2)&gt;산정특례!$U$4,산정특례!$U$4,ROUNDDOWN(P$15*$C18,-2))</x:f>
        <x:v>216200</x:v>
      </x:c>
      <x:c r="Q18" s="8">
        <x:f>IF(ROUNDDOWN(Q$15*$C18,-2)&gt;산정특례!$U$4,산정특례!$U$4,ROUNDDOWN(Q$15*$C18,-2))</x:f>
        <x:v>216200</x:v>
      </x:c>
      <x:c r="R18" s="8">
        <x:f>IF(ROUNDDOWN(R$15*$C18,-2)&gt;산정특례!$U$4,산정특례!$U$4,ROUNDDOWN(R$15*$C18,-2))</x:f>
        <x:v>216200</x:v>
      </x:c>
      <x:c r="S18" s="8">
        <x:f>IF(ROUNDDOWN(S$15*$C18,-2)&gt;산정특례!$U$4,산정특례!$U$4,ROUNDDOWN(S$15*$C18,-2))</x:f>
        <x:v>216200</x:v>
      </x:c>
    </x:row>
    <x:row r="19" spans="1:19">
      <x:c r="A19" s="249"/>
      <x:c r="B19" s="5" t="s">
        <x:v>31</x:v>
      </x:c>
      <x:c r="C19" s="6">
        <x:v>0.10000000000000001</x:v>
      </x:c>
      <x:c r="D19" s="7">
        <x:f>IF(ROUNDDOWN(D$27*$C19,-2)&gt;'[1]산정특례'!$U$4,'[1]산정특례'!$U$4,ROUNDDOWN(D$27*$C19,-2))</x:f>
        <x:v>0</x:v>
      </x:c>
      <x:c r="E19" s="8">
        <x:f>IF(ROUNDDOWN(E$15*$C19,-2)&gt;산정특례!$U$4,산정특례!$U$4,ROUNDDOWN(E$15*$C19,-2))</x:f>
        <x:v>66100</x:v>
      </x:c>
      <x:c r="F19" s="8">
        <x:f>IF(ROUNDDOWN(F$15*$C19,-2)&gt;산정특례!$U$4,산정특례!$U$4,ROUNDDOWN(F$15*$C19,-2))</x:f>
        <x:v>117900</x:v>
      </x:c>
      <x:c r="G19" s="8">
        <x:f>IF(ROUNDDOWN(G$15*$C19,-2)&gt;산정특례!$U$4,산정특례!$U$4,ROUNDDOWN(G$15*$C19,-2))</x:f>
        <x:v>169700</x:v>
      </x:c>
      <x:c r="H19" s="8">
        <x:f>IF(ROUNDDOWN(H$15*$C19,-2)&gt;산정특례!$U$4,산정특례!$U$4,ROUNDDOWN(H$15*$C19,-2))</x:f>
        <x:v>216200</x:v>
      </x:c>
      <x:c r="I19" s="8">
        <x:f>IF(ROUNDDOWN(I$15*$C19,-2)&gt;산정특례!$U$4,산정특례!$U$4,ROUNDDOWN(I$15*$C19,-2))</x:f>
        <x:v>216200</x:v>
      </x:c>
      <x:c r="J19" s="8">
        <x:f>IF(ROUNDDOWN(J$15*$C19,-2)&gt;산정특례!$U$4,산정특례!$U$4,ROUNDDOWN(J$15*$C19,-2))</x:f>
        <x:v>216200</x:v>
      </x:c>
      <x:c r="K19" s="8">
        <x:f>IF(ROUNDDOWN(K$15*$C19,-2)&gt;산정특례!$U$4,산정특례!$U$4,ROUNDDOWN(K$15*$C19,-2))</x:f>
        <x:v>216200</x:v>
      </x:c>
      <x:c r="L19" s="8">
        <x:f>IF(ROUNDDOWN(L$15*$C19,-2)&gt;산정특례!$U$4,산정특례!$U$4,ROUNDDOWN(L$15*$C19,-2))</x:f>
        <x:v>216200</x:v>
      </x:c>
      <x:c r="M19" s="8">
        <x:f>IF(ROUNDDOWN(M$15*$C19,-2)&gt;산정특례!$U$4,산정특례!$U$4,ROUNDDOWN(M$15*$C19,-2))</x:f>
        <x:v>216200</x:v>
      </x:c>
      <x:c r="N19" s="8">
        <x:f>IF(ROUNDDOWN(N$15*$C19,-2)&gt;산정특례!$U$4,산정특례!$U$4,ROUNDDOWN(N$15*$C19,-2))</x:f>
        <x:v>216200</x:v>
      </x:c>
      <x:c r="O19" s="8">
        <x:f>IF(ROUNDDOWN(O$15*$C19,-2)&gt;산정특례!$U$4,산정특례!$U$4,ROUNDDOWN(O$15*$C19,-2))</x:f>
        <x:v>216200</x:v>
      </x:c>
      <x:c r="P19" s="8">
        <x:f>IF(ROUNDDOWN(P$15*$C19,-2)&gt;산정특례!$U$4,산정특례!$U$4,ROUNDDOWN(P$15*$C19,-2))</x:f>
        <x:v>216200</x:v>
      </x:c>
      <x:c r="Q19" s="8">
        <x:f>IF(ROUNDDOWN(Q$15*$C19,-2)&gt;산정특례!$U$4,산정특례!$U$4,ROUNDDOWN(Q$15*$C19,-2))</x:f>
        <x:v>216200</x:v>
      </x:c>
      <x:c r="R19" s="8">
        <x:f>IF(ROUNDDOWN(R$15*$C19,-2)&gt;산정특례!$U$4,산정특례!$U$4,ROUNDDOWN(R$15*$C19,-2))</x:f>
        <x:v>216200</x:v>
      </x:c>
      <x:c r="S19" s="8">
        <x:f>IF(ROUNDDOWN(S$15*$C19,-2)&gt;산정특례!$U$4,산정특례!$U$4,ROUNDDOWN(S$15*$C19,-2))</x:f>
        <x:v>216200</x:v>
      </x:c>
    </x:row>
    <x:row r="20" spans="1:19">
      <x:c r="A20" s="250"/>
      <x:c r="B20" s="9" t="s">
        <x:v>12</x:v>
      </x:c>
      <x:c r="C20" s="9"/>
      <x:c r="D20" s="10">
        <x:f>+D15/2</x:f>
        <x:v>0</x:v>
      </x:c>
      <x:c r="E20" s="11">
        <x:f t="shared" ref="E20:S20" si="1">+E15/2</x:f>
        <x:v>330500</x:v>
      </x:c>
      <x:c r="F20" s="11">
        <x:f t="shared" si="1"/>
        <x:v>589500</x:v>
      </x:c>
      <x:c r="G20" s="11">
        <x:f t="shared" si="1"/>
        <x:v>848500</x:v>
      </x:c>
      <x:c r="H20" s="11">
        <x:f t="shared" si="1"/>
        <x:v>1107000</x:v>
      </x:c>
      <x:c r="I20" s="11">
        <x:f t="shared" si="1"/>
        <x:v>1366500</x:v>
      </x:c>
      <x:c r="J20" s="11">
        <x:f t="shared" si="1"/>
        <x:v>1625000</x:v>
      </x:c>
      <x:c r="K20" s="11">
        <x:f t="shared" si="1"/>
        <x:v>1884500</x:v>
      </x:c>
      <x:c r="L20" s="11">
        <x:f t="shared" si="1"/>
        <x:v>2143000</x:v>
      </x:c>
      <x:c r="M20" s="11">
        <x:f t="shared" si="1"/>
        <x:v>2401000</x:v>
      </x:c>
      <x:c r="N20" s="11">
        <x:f t="shared" si="1"/>
        <x:v>2662000</x:v>
      </x:c>
      <x:c r="O20" s="11">
        <x:f t="shared" si="1"/>
        <x:v>2921000</x:v>
      </x:c>
      <x:c r="P20" s="11">
        <x:f t="shared" si="1"/>
        <x:v>3180000</x:v>
      </x:c>
      <x:c r="Q20" s="11">
        <x:f t="shared" si="1"/>
        <x:v>3439000</x:v>
      </x:c>
      <x:c r="R20" s="11">
        <x:f t="shared" si="1"/>
        <x:v>3697500</x:v>
      </x:c>
      <x:c r="S20" s="11">
        <x:f t="shared" si="1"/>
        <x:v>3957000</x:v>
      </x:c>
    </x:row>
    <x:row r="21" spans="1:19">
      <x:c r="A21" s="249"/>
      <x:c r="B21" s="5" t="s">
        <x:v>34</x:v>
      </x:c>
      <x:c r="C21" s="6">
        <x:v>0.040000000000000002</x:v>
      </x:c>
      <x:c r="D21" s="7">
        <x:f>IF(ROUNDDOWN(D$32*$C21,-2)&gt;'[1]산정특례'!$U$4,'[1]산정특례'!$U$4,ROUNDDOWN(D$32*$C21,-2))</x:f>
        <x:v>0</x:v>
      </x:c>
      <x:c r="E21" s="8">
        <x:f>IF(ROUNDDOWN(E$20*$C21,-2)&gt;산정특례!$U$4,산정특례!$U$4,ROUNDDOWN(E$20*$C21,-2))</x:f>
        <x:v>13200</x:v>
      </x:c>
      <x:c r="F21" s="8">
        <x:f>IF(ROUNDDOWN(F$20*$C21,-2)&gt;산정특례!$U$4,산정특례!$U$4,ROUNDDOWN(F$20*$C21,-2))</x:f>
        <x:v>23500</x:v>
      </x:c>
      <x:c r="G21" s="8">
        <x:f>IF(ROUNDDOWN(G$20*$C21,-2)&gt;산정특례!$U$4,산정특례!$U$4,ROUNDDOWN(G$20*$C21,-2))</x:f>
        <x:v>33900</x:v>
      </x:c>
      <x:c r="H21" s="8">
        <x:f>IF(ROUNDDOWN(H$20*$C21,-2)&gt;산정특례!$U$4,산정특례!$U$4,ROUNDDOWN(H$20*$C21,-2))</x:f>
        <x:v>44200</x:v>
      </x:c>
      <x:c r="I21" s="8">
        <x:f>IF(ROUNDDOWN(I$20*$C21,-2)&gt;산정특례!$U$4,산정특례!$U$4,ROUNDDOWN(I$20*$C21,-2))</x:f>
        <x:v>54600</x:v>
      </x:c>
      <x:c r="J21" s="8">
        <x:f>IF(ROUNDDOWN(J$20*$C21,-2)&gt;산정특례!$U$4,산정특례!$U$4,ROUNDDOWN(J$20*$C21,-2))</x:f>
        <x:v>65000</x:v>
      </x:c>
      <x:c r="K21" s="8">
        <x:f>IF(ROUNDDOWN(K$20*$C21,-2)&gt;산정특례!$U$4,산정특례!$U$4,ROUNDDOWN(K$20*$C21,-2))</x:f>
        <x:v>75300</x:v>
      </x:c>
      <x:c r="L21" s="8">
        <x:f>IF(ROUNDDOWN(L$20*$C21,-2)&gt;산정특례!$U$4,산정특례!$U$4,ROUNDDOWN(L$20*$C21,-2))</x:f>
        <x:v>85700</x:v>
      </x:c>
      <x:c r="M21" s="8">
        <x:f>IF(ROUNDDOWN(M$20*$C21,-2)&gt;산정특례!$U$4,산정특례!$U$4,ROUNDDOWN(M$20*$C21,-2))</x:f>
        <x:v>96000</x:v>
      </x:c>
      <x:c r="N21" s="8">
        <x:f>IF(ROUNDDOWN(N$20*$C21,-2)&gt;산정특례!$U$4,산정특례!$U$4,ROUNDDOWN(N$20*$C21,-2))</x:f>
        <x:v>106400</x:v>
      </x:c>
      <x:c r="O21" s="8">
        <x:f>IF(ROUNDDOWN(O$20*$C21,-2)&gt;산정특례!$U$4,산정특례!$U$4,ROUNDDOWN(O$20*$C21,-2))</x:f>
        <x:v>116800</x:v>
      </x:c>
      <x:c r="P21" s="8">
        <x:f>IF(ROUNDDOWN(P$20*$C21,-2)&gt;산정특례!$U$4,산정특례!$U$4,ROUNDDOWN(P$20*$C21,-2))</x:f>
        <x:v>127200</x:v>
      </x:c>
      <x:c r="Q21" s="8">
        <x:f>IF(ROUNDDOWN(Q$20*$C21,-2)&gt;산정특례!$U$4,산정특례!$U$4,ROUNDDOWN(Q$20*$C21,-2))</x:f>
        <x:v>137500</x:v>
      </x:c>
      <x:c r="R21" s="8">
        <x:f>IF(ROUNDDOWN(R$20*$C21,-2)&gt;산정특례!$U$4,산정특례!$U$4,ROUNDDOWN(R$20*$C21,-2))</x:f>
        <x:v>147900</x:v>
      </x:c>
      <x:c r="S21" s="8">
        <x:f>IF(ROUNDDOWN(S$20*$C21,-2)&gt;산정특례!$U$4,산정특례!$U$4,ROUNDDOWN(S$20*$C21,-2))</x:f>
        <x:v>158200</x:v>
      </x:c>
    </x:row>
    <x:row r="22" spans="1:19">
      <x:c r="A22" s="249"/>
      <x:c r="B22" s="5" t="s">
        <x:v>32</x:v>
      </x:c>
      <x:c r="C22" s="6">
        <x:v>0.059999999999999998</x:v>
      </x:c>
      <x:c r="D22" s="7">
        <x:f>IF(ROUNDDOWN(D$32*$C22,-2)&gt;'[1]산정특례'!$U$4,'[1]산정특례'!$U$4,ROUNDDOWN(D$32*$C22,-2))</x:f>
        <x:v>0</x:v>
      </x:c>
      <x:c r="E22" s="8">
        <x:f>IF(ROUNDDOWN(E$20*$C22,-2)&gt;산정특례!$U$4,산정특례!$U$4,ROUNDDOWN(E$20*$C22,-2))</x:f>
        <x:v>19800</x:v>
      </x:c>
      <x:c r="F22" s="8">
        <x:f>IF(ROUNDDOWN(F$20*$C22,-2)&gt;산정특례!$U$4,산정특례!$U$4,ROUNDDOWN(F$20*$C22,-2))</x:f>
        <x:v>35300</x:v>
      </x:c>
      <x:c r="G22" s="8">
        <x:f>IF(ROUNDDOWN(G$20*$C22,-2)&gt;산정특례!$U$4,산정특례!$U$4,ROUNDDOWN(G$20*$C22,-2))</x:f>
        <x:v>50900</x:v>
      </x:c>
      <x:c r="H22" s="8">
        <x:f>IF(ROUNDDOWN(H$20*$C22,-2)&gt;산정특례!$U$4,산정특례!$U$4,ROUNDDOWN(H$20*$C22,-2))</x:f>
        <x:v>66400</x:v>
      </x:c>
      <x:c r="I22" s="8">
        <x:f>IF(ROUNDDOWN(I$20*$C22,-2)&gt;산정특례!$U$4,산정특례!$U$4,ROUNDDOWN(I$20*$C22,-2))</x:f>
        <x:v>81900</x:v>
      </x:c>
      <x:c r="J22" s="8">
        <x:f>IF(ROUNDDOWN(J$20*$C22,-2)&gt;산정특례!$U$4,산정특례!$U$4,ROUNDDOWN(J$20*$C22,-2))</x:f>
        <x:v>97500</x:v>
      </x:c>
      <x:c r="K22" s="8">
        <x:f>IF(ROUNDDOWN(K$20*$C22,-2)&gt;산정특례!$U$4,산정특례!$U$4,ROUNDDOWN(K$20*$C22,-2))</x:f>
        <x:v>113000</x:v>
      </x:c>
      <x:c r="L22" s="8">
        <x:f>IF(ROUNDDOWN(L$20*$C22,-2)&gt;산정특례!$U$4,산정특례!$U$4,ROUNDDOWN(L$20*$C22,-2))</x:f>
        <x:v>128500</x:v>
      </x:c>
      <x:c r="M22" s="8">
        <x:f>IF(ROUNDDOWN(M$20*$C22,-2)&gt;산정특례!$U$4,산정특례!$U$4,ROUNDDOWN(M$20*$C22,-2))</x:f>
        <x:v>144000</x:v>
      </x:c>
      <x:c r="N22" s="8">
        <x:f>IF(ROUNDDOWN(N$20*$C22,-2)&gt;산정특례!$U$4,산정특례!$U$4,ROUNDDOWN(N$20*$C22,-2))</x:f>
        <x:v>159700</x:v>
      </x:c>
      <x:c r="O22" s="8">
        <x:f>IF(ROUNDDOWN(O$20*$C22,-2)&gt;산정특례!$U$4,산정특례!$U$4,ROUNDDOWN(O$20*$C22,-2))</x:f>
        <x:v>175200</x:v>
      </x:c>
      <x:c r="P22" s="8">
        <x:f>IF(ROUNDDOWN(P$20*$C22,-2)&gt;산정특례!$U$4,산정특례!$U$4,ROUNDDOWN(P$20*$C22,-2))</x:f>
        <x:v>190800</x:v>
      </x:c>
      <x:c r="Q22" s="8">
        <x:f>IF(ROUNDDOWN(Q$20*$C22,-2)&gt;산정특례!$U$4,산정특례!$U$4,ROUNDDOWN(Q$20*$C22,-2))</x:f>
        <x:v>206300</x:v>
      </x:c>
      <x:c r="R22" s="8">
        <x:f>IF(ROUNDDOWN(R$20*$C22,-2)&gt;산정특례!$U$4,산정특례!$U$4,ROUNDDOWN(R$20*$C22,-2))</x:f>
        <x:v>216200</x:v>
      </x:c>
      <x:c r="S22" s="8">
        <x:f>IF(ROUNDDOWN(S$20*$C22,-2)&gt;산정특례!$U$4,산정특례!$U$4,ROUNDDOWN(S$20*$C22,-2))</x:f>
        <x:v>216200</x:v>
      </x:c>
    </x:row>
    <x:row r="23" spans="1:19">
      <x:c r="A23" s="249"/>
      <x:c r="B23" s="5" t="s">
        <x:v>36</x:v>
      </x:c>
      <x:c r="C23" s="6">
        <x:v>0.080000000000000004</x:v>
      </x:c>
      <x:c r="D23" s="7">
        <x:f>IF(ROUNDDOWN(D$32*$C23,-2)&gt;'[1]산정특례'!$U$4,'[1]산정특례'!$U$4,ROUNDDOWN(D$32*$C23,-2))</x:f>
        <x:v>0</x:v>
      </x:c>
      <x:c r="E23" s="8">
        <x:f>IF(ROUNDDOWN(E$20*$C23,-2)&gt;산정특례!$U$4,산정특례!$U$4,ROUNDDOWN(E$20*$C23,-2))</x:f>
        <x:v>26400</x:v>
      </x:c>
      <x:c r="F23" s="8">
        <x:f>IF(ROUNDDOWN(F$20*$C23,-2)&gt;산정특례!$U$4,산정특례!$U$4,ROUNDDOWN(F$20*$C23,-2))</x:f>
        <x:v>47100</x:v>
      </x:c>
      <x:c r="G23" s="8">
        <x:f>IF(ROUNDDOWN(G$20*$C23,-2)&gt;산정특례!$U$4,산정특례!$U$4,ROUNDDOWN(G$20*$C23,-2))</x:f>
        <x:v>67800</x:v>
      </x:c>
      <x:c r="H23" s="8">
        <x:f>IF(ROUNDDOWN(H$20*$C23,-2)&gt;산정특례!$U$4,산정특례!$U$4,ROUNDDOWN(H$20*$C23,-2))</x:f>
        <x:v>88500</x:v>
      </x:c>
      <x:c r="I23" s="8">
        <x:f>IF(ROUNDDOWN(I$20*$C23,-2)&gt;산정특례!$U$4,산정특례!$U$4,ROUNDDOWN(I$20*$C23,-2))</x:f>
        <x:v>109300</x:v>
      </x:c>
      <x:c r="J23" s="8">
        <x:f>IF(ROUNDDOWN(J$20*$C23,-2)&gt;산정특례!$U$4,산정특례!$U$4,ROUNDDOWN(J$20*$C23,-2))</x:f>
        <x:v>130000</x:v>
      </x:c>
      <x:c r="K23" s="8">
        <x:f>IF(ROUNDDOWN(K$20*$C23,-2)&gt;산정특례!$U$4,산정특례!$U$4,ROUNDDOWN(K$20*$C23,-2))</x:f>
        <x:v>150700</x:v>
      </x:c>
      <x:c r="L23" s="8">
        <x:f>IF(ROUNDDOWN(L$20*$C23,-2)&gt;산정특례!$U$4,산정특례!$U$4,ROUNDDOWN(L$20*$C23,-2))</x:f>
        <x:v>171400</x:v>
      </x:c>
      <x:c r="M23" s="8">
        <x:f>IF(ROUNDDOWN(M$20*$C23,-2)&gt;산정특례!$U$4,산정특례!$U$4,ROUNDDOWN(M$20*$C23,-2))</x:f>
        <x:v>192000</x:v>
      </x:c>
      <x:c r="N23" s="8">
        <x:f>IF(ROUNDDOWN(N$20*$C23,-2)&gt;산정특례!$U$4,산정특례!$U$4,ROUNDDOWN(N$20*$C23,-2))</x:f>
        <x:v>212900</x:v>
      </x:c>
      <x:c r="O23" s="8">
        <x:f>IF(ROUNDDOWN(O$20*$C23,-2)&gt;산정특례!$U$4,산정특례!$U$4,ROUNDDOWN(O$20*$C23,-2))</x:f>
        <x:v>216200</x:v>
      </x:c>
      <x:c r="P23" s="8">
        <x:f>IF(ROUNDDOWN(P$20*$C23,-2)&gt;산정특례!$U$4,산정특례!$U$4,ROUNDDOWN(P$20*$C23,-2))</x:f>
        <x:v>216200</x:v>
      </x:c>
      <x:c r="Q23" s="8">
        <x:f>IF(ROUNDDOWN(Q$20*$C23,-2)&gt;산정특례!$U$4,산정특례!$U$4,ROUNDDOWN(Q$20*$C23,-2))</x:f>
        <x:v>216200</x:v>
      </x:c>
      <x:c r="R23" s="8">
        <x:f>IF(ROUNDDOWN(R$20*$C23,-2)&gt;산정특례!$U$4,산정특례!$U$4,ROUNDDOWN(R$20*$C23,-2))</x:f>
        <x:v>216200</x:v>
      </x:c>
      <x:c r="S23" s="8">
        <x:f>IF(ROUNDDOWN(S$20*$C23,-2)&gt;산정특례!$U$4,산정특례!$U$4,ROUNDDOWN(S$20*$C23,-2))</x:f>
        <x:v>216200</x:v>
      </x:c>
    </x:row>
    <x:row r="24" spans="1:19">
      <x:c r="A24" s="249"/>
      <x:c r="B24" s="5" t="s">
        <x:v>31</x:v>
      </x:c>
      <x:c r="C24" s="6">
        <x:v>0.10000000000000001</x:v>
      </x:c>
      <x:c r="D24" s="7">
        <x:f>IF(ROUNDDOWN(D$32*$C24,-2)&gt;'[1]산정특례'!$U$4,'[1]산정특례'!$U$4,ROUNDDOWN(D$32*$C24,-2))</x:f>
        <x:v>0</x:v>
      </x:c>
      <x:c r="E24" s="8">
        <x:f>IF(ROUNDDOWN(E$20*$C24,-2)&gt;산정특례!$U$4,산정특례!$U$4,ROUNDDOWN(E$20*$C24,-2))</x:f>
        <x:v>33000</x:v>
      </x:c>
      <x:c r="F24" s="8">
        <x:f>IF(ROUNDDOWN(F$20*$C24,-2)&gt;산정특례!$U$4,산정특례!$U$4,ROUNDDOWN(F$20*$C24,-2))</x:f>
        <x:v>58900</x:v>
      </x:c>
      <x:c r="G24" s="8">
        <x:f>IF(ROUNDDOWN(G$20*$C24,-2)&gt;산정특례!$U$4,산정특례!$U$4,ROUNDDOWN(G$20*$C24,-2))</x:f>
        <x:v>84800</x:v>
      </x:c>
      <x:c r="H24" s="8">
        <x:f>IF(ROUNDDOWN(H$20*$C24,-2)&gt;산정특례!$U$4,산정특례!$U$4,ROUNDDOWN(H$20*$C24,-2))</x:f>
        <x:v>110700</x:v>
      </x:c>
      <x:c r="I24" s="8">
        <x:f>IF(ROUNDDOWN(I$20*$C24,-2)&gt;산정특례!$U$4,산정특례!$U$4,ROUNDDOWN(I$20*$C24,-2))</x:f>
        <x:v>136600</x:v>
      </x:c>
      <x:c r="J24" s="8">
        <x:f>IF(ROUNDDOWN(J$20*$C24,-2)&gt;산정특례!$U$4,산정특례!$U$4,ROUNDDOWN(J$20*$C24,-2))</x:f>
        <x:v>162500</x:v>
      </x:c>
      <x:c r="K24" s="8">
        <x:f>IF(ROUNDDOWN(K$20*$C24,-2)&gt;산정특례!$U$4,산정특례!$U$4,ROUNDDOWN(K$20*$C24,-2))</x:f>
        <x:v>188400</x:v>
      </x:c>
      <x:c r="L24" s="8">
        <x:f>IF(ROUNDDOWN(L$20*$C24,-2)&gt;산정특례!$U$4,산정특례!$U$4,ROUNDDOWN(L$20*$C24,-2))</x:f>
        <x:v>214300</x:v>
      </x:c>
      <x:c r="M24" s="8">
        <x:f>IF(ROUNDDOWN(M$20*$C24,-2)&gt;산정특례!$U$4,산정특례!$U$4,ROUNDDOWN(M$20*$C24,-2))</x:f>
        <x:v>216200</x:v>
      </x:c>
      <x:c r="N24" s="8">
        <x:f>IF(ROUNDDOWN(N$20*$C24,-2)&gt;산정특례!$U$4,산정특례!$U$4,ROUNDDOWN(N$20*$C24,-2))</x:f>
        <x:v>216200</x:v>
      </x:c>
      <x:c r="O24" s="8">
        <x:f>IF(ROUNDDOWN(O$20*$C24,-2)&gt;산정특례!$U$4,산정특례!$U$4,ROUNDDOWN(O$20*$C24,-2))</x:f>
        <x:v>216200</x:v>
      </x:c>
      <x:c r="P24" s="8">
        <x:f>IF(ROUNDDOWN(P$20*$C24,-2)&gt;산정특례!$U$4,산정특례!$U$4,ROUNDDOWN(P$20*$C24,-2))</x:f>
        <x:v>216200</x:v>
      </x:c>
      <x:c r="Q24" s="8">
        <x:f>IF(ROUNDDOWN(Q$20*$C24,-2)&gt;산정특례!$U$4,산정특례!$U$4,ROUNDDOWN(Q$20*$C24,-2))</x:f>
        <x:v>216200</x:v>
      </x:c>
      <x:c r="R24" s="8">
        <x:f>IF(ROUNDDOWN(R$20*$C24,-2)&gt;산정특례!$U$4,산정특례!$U$4,ROUNDDOWN(R$20*$C24,-2))</x:f>
        <x:v>216200</x:v>
      </x:c>
      <x:c r="S24" s="8">
        <x:f>IF(ROUNDDOWN(S$20*$C24,-2)&gt;산정특례!$U$4,산정특례!$U$4,ROUNDDOWN(S$20*$C24,-2))</x:f>
        <x:v>216200</x:v>
      </x:c>
    </x:row>
  </x:sheetData>
  <x:mergeCells count="6">
    <x:mergeCell ref="A2:A3"/>
    <x:mergeCell ref="B2:B3"/>
    <x:mergeCell ref="C2:C3"/>
    <x:mergeCell ref="A14:A15"/>
    <x:mergeCell ref="B14:B15"/>
    <x:mergeCell ref="C14:C15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인정조사</vt:lpstr>
      <vt:lpstr>산정특례</vt:lpstr>
      <vt:lpstr>종합조사</vt:lpstr>
    </vt:vector>
  </ep:TitlesOfParts>
  <ep:TotalTime>198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LG</cp:lastModifiedBy>
  <cp:revision>20</cp:revision>
  <dcterms:created xsi:type="dcterms:W3CDTF">2026-07-03T03:13:20.504</dcterms:created>
  <dcterms:modified xsi:type="dcterms:W3CDTF">2026-07-10T07:59:47.962</dcterms:modified>
  <cp:version>1200.0100.01</cp:version>
</cp:coreProperties>
</file>